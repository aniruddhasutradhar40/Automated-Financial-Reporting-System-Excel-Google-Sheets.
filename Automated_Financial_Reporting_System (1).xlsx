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" sheetId="2" state="visible" r:id="rId4"/>
    <sheet name="Chart of Accounts" sheetId="3" state="visible" r:id="rId5"/>
    <sheet name="Opening Balances" sheetId="4" state="visible" r:id="rId6"/>
    <sheet name="Journal Entries" sheetId="5" state="visible" r:id="rId7"/>
    <sheet name="Trial Balance" sheetId="6" state="visible" r:id="rId8"/>
    <sheet name="Balance Sheet" sheetId="7" state="visible" r:id="rId9"/>
    <sheet name="Profit &amp; Loss" sheetId="8" state="visible" r:id="rId10"/>
    <sheet name="Changes in Equity" sheetId="9" state="visible" r:id="rId11"/>
    <sheet name="Cash Flow Statement" sheetId="10" state="visible" r:id="rId12"/>
  </sheets>
  <definedNames>
    <definedName function="false" hidden="false" localSheetId="0" name="_xlnm.Print_Area" vbProcedure="false">Dashboard!$A$1:$Y$32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<sst xmlns="http://schemas.openxmlformats.org/spreadsheetml/2006/main" count="496" uniqueCount="274">
  <si>
    <t xml:space="preserve">ABC Trading Limited</t>
  </si>
  <si>
    <t xml:space="preserve">Dhaka, Bangladesh</t>
  </si>
  <si>
    <t xml:space="preserve">Executive Dashboard — Key Performance Indicators</t>
  </si>
  <si>
    <t xml:space="preserve">For the year ended 30-Jun-2026, with comparative 30-Jun-2025 — figures auto-update from the reports below</t>
  </si>
  <si>
    <t xml:space="preserve">TOTAL REVENUE</t>
  </si>
  <si>
    <t xml:space="preserve">NET PROFIT</t>
  </si>
  <si>
    <t xml:space="preserve">TOTAL ASSETS</t>
  </si>
  <si>
    <t xml:space="preserve">TOTAL EQUITY</t>
  </si>
  <si>
    <t xml:space="preserve">CURRENT RATIO</t>
  </si>
  <si>
    <t xml:space="preserve">NET PROFIT MARGIN</t>
  </si>
  <si>
    <t xml:space="preserve">Current period</t>
  </si>
  <si>
    <t xml:space="preserve">FY 2025-26</t>
  </si>
  <si>
    <t xml:space="preserve">Chart Source Data (auto-calculated — do not edit)</t>
  </si>
  <si>
    <t xml:space="preserve">Metric</t>
  </si>
  <si>
    <t xml:space="preserve">Amount</t>
  </si>
  <si>
    <t xml:space="preserve">Total Revenue</t>
  </si>
  <si>
    <t xml:space="preserve">Gross Profit</t>
  </si>
  <si>
    <t xml:space="preserve">Operating Profit</t>
  </si>
  <si>
    <t xml:space="preserve">Net Profit</t>
  </si>
  <si>
    <t xml:space="preserve">Expense</t>
  </si>
  <si>
    <t xml:space="preserve">Salaries &amp; Wages</t>
  </si>
  <si>
    <t xml:space="preserve">Rent Expense</t>
  </si>
  <si>
    <t xml:space="preserve">Depreciation</t>
  </si>
  <si>
    <t xml:space="preserve">Utilities</t>
  </si>
  <si>
    <t xml:space="preserve">Office &amp; Admin</t>
  </si>
  <si>
    <t xml:space="preserve">Item</t>
  </si>
  <si>
    <t xml:space="preserve">Current</t>
  </si>
  <si>
    <t xml:space="preserve">Prior</t>
  </si>
  <si>
    <t xml:space="preserve">Total Assets</t>
  </si>
  <si>
    <t xml:space="preserve">Total Equity</t>
  </si>
  <si>
    <t xml:space="preserve">Total Liabilities</t>
  </si>
  <si>
    <t xml:space="preserve">Automated Financial Reporting System</t>
  </si>
  <si>
    <t xml:space="preserve">Journal Entries In → Balance Sheet, P&amp;L, Changes in Equity &amp; Cash Flow Out</t>
  </si>
  <si>
    <t xml:space="preserve">HOW THIS WORKBOOK WORKS</t>
  </si>
  <si>
    <t xml:space="preserve">1. Go to the 'Chart of Accounts' sheet and review/extend the account list for your business (add rows if needed - just make sure every new account is tagged with Category, Sub-Category and Cash Flow Class).</t>
  </si>
  <si>
    <t xml:space="preserve">2. Go to 'Opening Balances' and enter the opening (brought-forward) debit or credit balance for every Balance Sheet account as at the start of the reporting period. This is normally last period's closing Balance Sheet.</t>
  </si>
  <si>
    <t xml:space="preserve">3. Enter every transaction as a Journal Entry on the 'Journal Entries' sheet - Date, Account Code, Debit or Credit, Description. Each entry must balance (Total Debit = Total Credit) - Column J flags any line that doesn't.</t>
  </si>
  <si>
    <t xml:space="preserve">4. That's it. 'Trial Balance', 'Balance Sheet', 'Profit &amp; Loss', 'Changes in Equity' and 'Cash Flow Statement' all recalculate automatically from formulas - nothing else needs to be touched.</t>
  </si>
  <si>
    <t xml:space="preserve">COMPATIBILITY</t>
  </si>
  <si>
    <t xml:space="preserve">Every formula in this workbook uses functions supported natively by BOTH Microsoft Excel and Google Sheets (SUMIFS, VLOOKUP, IF, ROUND, ABS, IFERROR). To use it in Google Sheets: File &gt; Import &gt; Upload this .xlsx file &gt; 'Replace spreadsheet'. No add-ons, macros or Apps Script needed.</t>
  </si>
  <si>
    <t xml:space="preserve">COLOR KEY</t>
  </si>
  <si>
    <t xml:space="preserve">Blue text = an input you type (journal entries, opening balances, account setup).</t>
  </si>
  <si>
    <t xml:space="preserve">Black text = a formula/calculation - do not overtype.</t>
  </si>
  <si>
    <t xml:space="preserve">Green text = a value pulled/linked from another sheet in the workbook.</t>
  </si>
  <si>
    <t xml:space="preserve">Yellow highlight = control checks - these must read TRUE / zero. If not, find the error before trusting the reports.</t>
  </si>
  <si>
    <t xml:space="preserve">SHEET MAP</t>
  </si>
  <si>
    <t xml:space="preserve">Chart of Accounts   - the master list of every account and how it behaves in the reports.</t>
  </si>
  <si>
    <t xml:space="preserve">Opening Balances    - brought-forward balances at the start of the period (your inputs).</t>
  </si>
  <si>
    <t xml:space="preserve">Journal Entries     - every transaction of the period, double-entry style (your inputs).</t>
  </si>
  <si>
    <t xml:space="preserve">Trial Balance       - fully automated roll-up of Opening + Movement = Closing per account.</t>
  </si>
  <si>
    <t xml:space="preserve">Balance Sheet        - Statement of Financial Position, automated, current vs prior period.</t>
  </si>
  <si>
    <t xml:space="preserve">Profit &amp; Loss        - Income Statement, automated.</t>
  </si>
  <si>
    <t xml:space="preserve">Changes in Equity    - movement in Share Capital, Reserves &amp; Retained Earnings, automated.</t>
  </si>
  <si>
    <t xml:space="preserve">Cash Flow Statement  - Indirect method, fully automated and tied back to the cash account.</t>
  </si>
  <si>
    <t xml:space="preserve">Chart of Accounts</t>
  </si>
  <si>
    <t xml:space="preserve">Master list of accounts. Add new rows as needed - keep formatting consistent.</t>
  </si>
  <si>
    <t xml:space="preserve">Account Code</t>
  </si>
  <si>
    <t xml:space="preserve">Account Name</t>
  </si>
  <si>
    <t xml:space="preserve">Statement</t>
  </si>
  <si>
    <t xml:space="preserve">Category</t>
  </si>
  <si>
    <t xml:space="preserve">Sub-Category</t>
  </si>
  <si>
    <t xml:space="preserve">Normal Side</t>
  </si>
  <si>
    <t xml:space="preserve">Cash Flow Class</t>
  </si>
  <si>
    <t xml:space="preserve">Notes</t>
  </si>
  <si>
    <t xml:space="preserve">Property, Plant &amp; Equipment</t>
  </si>
  <si>
    <t xml:space="preserve">BS</t>
  </si>
  <si>
    <t xml:space="preserve">Asset</t>
  </si>
  <si>
    <t xml:space="preserve">Non-Current Asset</t>
  </si>
  <si>
    <t xml:space="preserve">Debit</t>
  </si>
  <si>
    <t xml:space="preserve">Investing</t>
  </si>
  <si>
    <t xml:space="preserve">Accumulated Depreciation</t>
  </si>
  <si>
    <t xml:space="preserve">Credit</t>
  </si>
  <si>
    <t xml:space="preserve">Non-Cash</t>
  </si>
  <si>
    <t xml:space="preserve">Capital Work-in-Progress</t>
  </si>
  <si>
    <t xml:space="preserve">Long-Term Investments</t>
  </si>
  <si>
    <t xml:space="preserve">Inventories</t>
  </si>
  <si>
    <t xml:space="preserve">Current Asset</t>
  </si>
  <si>
    <t xml:space="preserve">Operating</t>
  </si>
  <si>
    <t xml:space="preserve">Accounts Receivable</t>
  </si>
  <si>
    <t xml:space="preserve">Advances, Deposits &amp; Prepayments</t>
  </si>
  <si>
    <t xml:space="preserve">Cash &amp; Cash Equivalents</t>
  </si>
  <si>
    <t xml:space="preserve">Cash</t>
  </si>
  <si>
    <t xml:space="preserve">Long-Term Loan</t>
  </si>
  <si>
    <t xml:space="preserve">Liability</t>
  </si>
  <si>
    <t xml:space="preserve">Non-Current Liability</t>
  </si>
  <si>
    <t xml:space="preserve">Financing</t>
  </si>
  <si>
    <t xml:space="preserve">Deferred Tax Liability</t>
  </si>
  <si>
    <t xml:space="preserve">Accounts Payable</t>
  </si>
  <si>
    <t xml:space="preserve">Current Liability</t>
  </si>
  <si>
    <t xml:space="preserve">Accrued Expenses</t>
  </si>
  <si>
    <t xml:space="preserve">Short-Term Loan</t>
  </si>
  <si>
    <t xml:space="preserve">Tax Payable</t>
  </si>
  <si>
    <t xml:space="preserve">Share Capital</t>
  </si>
  <si>
    <t xml:space="preserve">Equity</t>
  </si>
  <si>
    <t xml:space="preserve">Retained Earnings</t>
  </si>
  <si>
    <t xml:space="preserve">Revaluation Reserve</t>
  </si>
  <si>
    <t xml:space="preserve">Sales Revenue</t>
  </si>
  <si>
    <t xml:space="preserve">PL</t>
  </si>
  <si>
    <t xml:space="preserve">Revenue</t>
  </si>
  <si>
    <t xml:space="preserve">Other Income</t>
  </si>
  <si>
    <t xml:space="preserve">Cost of Goods Sold</t>
  </si>
  <si>
    <t xml:space="preserve">Cost of Sales</t>
  </si>
  <si>
    <t xml:space="preserve">Operating Expense</t>
  </si>
  <si>
    <t xml:space="preserve">Depreciation Expense</t>
  </si>
  <si>
    <t xml:space="preserve">Utilities Expense</t>
  </si>
  <si>
    <t xml:space="preserve">Office &amp; Admin Expense</t>
  </si>
  <si>
    <t xml:space="preserve">Interest Expense</t>
  </si>
  <si>
    <t xml:space="preserve">Finance Cost</t>
  </si>
  <si>
    <t xml:space="preserve">Tax Expense</t>
  </si>
  <si>
    <t xml:space="preserve">Tax</t>
  </si>
  <si>
    <t xml:space="preserve">Opening Balances</t>
  </si>
  <si>
    <t xml:space="preserve">Enter the brought-forward balance for every Balance Sheet account as at the first day of the period (usually last period's closing figures). Only ONE of Opening Debit / Opening Credit should be filled per row.</t>
  </si>
  <si>
    <t xml:space="preserve">Opening Debit</t>
  </si>
  <si>
    <t xml:space="preserve">Opening Credit</t>
  </si>
  <si>
    <t xml:space="preserve">Control check - Opening Debits must equal Opening Credits:</t>
  </si>
  <si>
    <t xml:space="preserve">Journal Entries</t>
  </si>
  <si>
    <t xml:space="preserve">Enter every transaction here - one row per debit or credit line. Every voucher must balance (sum of its debit lines = sum of its credit lines). Pick the Account Code from the dropdown; the account name fills in automatically.</t>
  </si>
  <si>
    <t xml:space="preserve">Date</t>
  </si>
  <si>
    <t xml:space="preserve">Voucher No.</t>
  </si>
  <si>
    <t xml:space="preserve">Description</t>
  </si>
  <si>
    <t xml:space="preserve">Line Balanced?</t>
  </si>
  <si>
    <t xml:space="preserve">JV-001</t>
  </si>
  <si>
    <t xml:space="preserve">Credit sales for the period</t>
  </si>
  <si>
    <t xml:space="preserve">JV-002</t>
  </si>
  <si>
    <t xml:space="preserve">Cash sales for the period</t>
  </si>
  <si>
    <t xml:space="preserve">JV-003</t>
  </si>
  <si>
    <t xml:space="preserve">Cost of goods sold recognised</t>
  </si>
  <si>
    <t xml:space="preserve">JV-004</t>
  </si>
  <si>
    <t xml:space="preserve">Inventory purchased on credit</t>
  </si>
  <si>
    <t xml:space="preserve">JV-005</t>
  </si>
  <si>
    <t xml:space="preserve">Cash collected from customers</t>
  </si>
  <si>
    <t xml:space="preserve">JV-006</t>
  </si>
  <si>
    <t xml:space="preserve">Payment to suppliers</t>
  </si>
  <si>
    <t xml:space="preserve">JV-007</t>
  </si>
  <si>
    <t xml:space="preserve">Staff salaries paid</t>
  </si>
  <si>
    <t xml:space="preserve">JV-008</t>
  </si>
  <si>
    <t xml:space="preserve">Office rent paid</t>
  </si>
  <si>
    <t xml:space="preserve">JV-009</t>
  </si>
  <si>
    <t xml:space="preserve">Utility bills paid</t>
  </si>
  <si>
    <t xml:space="preserve">JV-010</t>
  </si>
  <si>
    <t xml:space="preserve">Office &amp; admin expenses paid</t>
  </si>
  <si>
    <t xml:space="preserve">JV-011</t>
  </si>
  <si>
    <t xml:space="preserve">Purchase of new equipment</t>
  </si>
  <si>
    <t xml:space="preserve">JV-012</t>
  </si>
  <si>
    <t xml:space="preserve">Capital work-in-progress - new branch fit-out</t>
  </si>
  <si>
    <t xml:space="preserve">JV-013</t>
  </si>
  <si>
    <t xml:space="preserve">Other income received</t>
  </si>
  <si>
    <t xml:space="preserve">JV-014</t>
  </si>
  <si>
    <t xml:space="preserve">Interest paid on term loan</t>
  </si>
  <si>
    <t xml:space="preserve">JV-015</t>
  </si>
  <si>
    <t xml:space="preserve">Repayment of long-term loan</t>
  </si>
  <si>
    <t xml:space="preserve">JV-016</t>
  </si>
  <si>
    <t xml:space="preserve">Short-term loan drawn down</t>
  </si>
  <si>
    <t xml:space="preserve">JV-017</t>
  </si>
  <si>
    <t xml:space="preserve">Advance paid to landlord/suppliers</t>
  </si>
  <si>
    <t xml:space="preserve">JV-018</t>
  </si>
  <si>
    <t xml:space="preserve">Admin expenses accrued (unpaid)</t>
  </si>
  <si>
    <t xml:space="preserve">JV-019</t>
  </si>
  <si>
    <t xml:space="preserve">Fresh share capital issued for cash</t>
  </si>
  <si>
    <t xml:space="preserve">JV-020</t>
  </si>
  <si>
    <t xml:space="preserve">Corporate tax expense accrued</t>
  </si>
  <si>
    <t xml:space="preserve">JV-021</t>
  </si>
  <si>
    <t xml:space="preserve">Tax paid to authorities</t>
  </si>
  <si>
    <t xml:space="preserve">JV-022</t>
  </si>
  <si>
    <t xml:space="preserve">Deferred tax liability movement</t>
  </si>
  <si>
    <t xml:space="preserve">JV-023</t>
  </si>
  <si>
    <t xml:space="preserve">Dividend declared and paid to shareholders</t>
  </si>
  <si>
    <t xml:space="preserve">JV-024</t>
  </si>
  <si>
    <t xml:space="preserve">Depreciation charge for the period</t>
  </si>
  <si>
    <t xml:space="preserve">JV-025</t>
  </si>
  <si>
    <t xml:space="preserve">Year-end cash collection from customers</t>
  </si>
  <si>
    <t xml:space="preserve">TOTALS</t>
  </si>
  <si>
    <t xml:space="preserve">Control check - Total Debits = Total Credits:</t>
  </si>
  <si>
    <t xml:space="preserve">Trial Balance</t>
  </si>
  <si>
    <t xml:space="preserve">Fully automated - do not type into this sheet. Opening + Period Movement = Closing, for every account.</t>
  </si>
  <si>
    <t xml:space="preserve">Code</t>
  </si>
  <si>
    <t xml:space="preserve">Stmt</t>
  </si>
  <si>
    <t xml:space="preserve">CF Class</t>
  </si>
  <si>
    <t xml:space="preserve">Opening Dr</t>
  </si>
  <si>
    <t xml:space="preserve">Opening Cr</t>
  </si>
  <si>
    <t xml:space="preserve">Period Dr</t>
  </si>
  <si>
    <t xml:space="preserve">Period Cr</t>
  </si>
  <si>
    <t xml:space="preserve">Closing Dr</t>
  </si>
  <si>
    <t xml:space="preserve">Closing Cr</t>
  </si>
  <si>
    <t xml:space="preserve">TOTAL</t>
  </si>
  <si>
    <t xml:space="preserve">Control check - Closing Debits = Closing Credits:</t>
  </si>
  <si>
    <t xml:space="preserve">Statement of Financial Position</t>
  </si>
  <si>
    <t xml:space="preserve">As at 30-Jun-2026, with comparative 30-Jun-2025</t>
  </si>
  <si>
    <t xml:space="preserve">Particulars</t>
  </si>
  <si>
    <t xml:space="preserve">30-Jun-2026 (Current)</t>
  </si>
  <si>
    <t xml:space="preserve">30-Jun-2025 (Prior)</t>
  </si>
  <si>
    <t xml:space="preserve">ASSETS</t>
  </si>
  <si>
    <t xml:space="preserve">Non-Current Assets</t>
  </si>
  <si>
    <t xml:space="preserve">Property, Plant &amp; Equipment (net)</t>
  </si>
  <si>
    <t xml:space="preserve">1</t>
  </si>
  <si>
    <t xml:space="preserve">2</t>
  </si>
  <si>
    <t xml:space="preserve">3</t>
  </si>
  <si>
    <t xml:space="preserve">Total Non-Current Assets</t>
  </si>
  <si>
    <t xml:space="preserve">Current Assets</t>
  </si>
  <si>
    <t xml:space="preserve">4</t>
  </si>
  <si>
    <t xml:space="preserve">5</t>
  </si>
  <si>
    <t xml:space="preserve">6</t>
  </si>
  <si>
    <t xml:space="preserve">7</t>
  </si>
  <si>
    <t xml:space="preserve">Total Current Assets</t>
  </si>
  <si>
    <t xml:space="preserve">EQUITY &amp; LIABILITIES</t>
  </si>
  <si>
    <t xml:space="preserve">8</t>
  </si>
  <si>
    <t xml:space="preserve">9</t>
  </si>
  <si>
    <t xml:space="preserve">10</t>
  </si>
  <si>
    <t xml:space="preserve">Non-Current Liabilities</t>
  </si>
  <si>
    <t xml:space="preserve">11</t>
  </si>
  <si>
    <t xml:space="preserve">12</t>
  </si>
  <si>
    <t xml:space="preserve">Total Non-Current Liabilities</t>
  </si>
  <si>
    <t xml:space="preserve">Current Liabilities</t>
  </si>
  <si>
    <t xml:space="preserve">13</t>
  </si>
  <si>
    <t xml:space="preserve">14</t>
  </si>
  <si>
    <t xml:space="preserve">15</t>
  </si>
  <si>
    <t xml:space="preserve">16</t>
  </si>
  <si>
    <t xml:space="preserve">Total Current Liabilities</t>
  </si>
  <si>
    <t xml:space="preserve">TOTAL EQUITY &amp; LIABILITIES</t>
  </si>
  <si>
    <t xml:space="preserve">Control check - Total Assets = Total Equity &amp; Liabilities (Current):</t>
  </si>
  <si>
    <t xml:space="preserve">Control check - Total Assets = Total Equity &amp; Liabilities (Prior):</t>
  </si>
  <si>
    <t xml:space="preserve">Profit &amp; Loss Statement (Income Statement)</t>
  </si>
  <si>
    <t xml:space="preserve">For the year ended 30-Jun-2026</t>
  </si>
  <si>
    <t xml:space="preserve">Amount (Taka)</t>
  </si>
  <si>
    <t xml:space="preserve">    Sales Revenue</t>
  </si>
  <si>
    <t xml:space="preserve">    Other Income</t>
  </si>
  <si>
    <t xml:space="preserve">    Cost of Goods Sold</t>
  </si>
  <si>
    <t xml:space="preserve">Operating Expenses</t>
  </si>
  <si>
    <t xml:space="preserve">    Salaries &amp; Wages</t>
  </si>
  <si>
    <t xml:space="preserve">    Rent Expense</t>
  </si>
  <si>
    <t xml:space="preserve">    Depreciation Expense</t>
  </si>
  <si>
    <t xml:space="preserve">    Utilities Expense</t>
  </si>
  <si>
    <t xml:space="preserve">    Office &amp; Admin Expense</t>
  </si>
  <si>
    <t xml:space="preserve">Total Operating Expenses</t>
  </si>
  <si>
    <t xml:space="preserve">    Interest / Finance Cost</t>
  </si>
  <si>
    <t xml:space="preserve">Profit Before Tax</t>
  </si>
  <si>
    <t xml:space="preserve">    Tax Expense (current + deferred)</t>
  </si>
  <si>
    <t xml:space="preserve">Net Profit for the Period</t>
  </si>
  <si>
    <t xml:space="preserve">Net Profit for the Period flows automatically into Retained Earnings on the Balance Sheet and Changes in Equity statement.</t>
  </si>
  <si>
    <t xml:space="preserve">Statement of Changes in Equity</t>
  </si>
  <si>
    <t xml:space="preserve">Balance at 1 Jul 2025 (Opening)</t>
  </si>
  <si>
    <t xml:space="preserve">Shares issued during the period</t>
  </si>
  <si>
    <t xml:space="preserve">Net profit for the period</t>
  </si>
  <si>
    <t xml:space="preserve">Dividends declared / paid</t>
  </si>
  <si>
    <t xml:space="preserve">Revaluation movement during the period</t>
  </si>
  <si>
    <t xml:space="preserve">Balance at 30 Jun 2026 (Closing)</t>
  </si>
  <si>
    <t xml:space="preserve">Control check - Closing equity here must equal Balance Sheet Total Equity:</t>
  </si>
  <si>
    <t xml:space="preserve">Statement of Cash Flows (Indirect Method)</t>
  </si>
  <si>
    <t xml:space="preserve">Cash Flows from Operating Activities</t>
  </si>
  <si>
    <t xml:space="preserve">    Net Profit for the Period</t>
  </si>
  <si>
    <t xml:space="preserve">    Add back: Depreciation (non-cash)</t>
  </si>
  <si>
    <t xml:space="preserve">    (Increase) / Decrease in Inventories</t>
  </si>
  <si>
    <t xml:space="preserve">    (Increase) / Decrease in Accounts Receivable</t>
  </si>
  <si>
    <t xml:space="preserve">    (Increase) / Decrease in Advances &amp; Prepayments</t>
  </si>
  <si>
    <t xml:space="preserve">    Increase / (Decrease) in Accounts Payable</t>
  </si>
  <si>
    <t xml:space="preserve">    Increase / (Decrease) in Accrued Expenses</t>
  </si>
  <si>
    <t xml:space="preserve">    Increase / (Decrease) in Tax Payable</t>
  </si>
  <si>
    <t xml:space="preserve">    Increase / (Decrease) in Deferred Tax Liability</t>
  </si>
  <si>
    <t xml:space="preserve">Net Cash from Operating Activities</t>
  </si>
  <si>
    <t xml:space="preserve">Cash Flows from Investing Activities</t>
  </si>
  <si>
    <t xml:space="preserve">    Purchase of Property, Plant &amp; Equipment</t>
  </si>
  <si>
    <t xml:space="preserve">    Additions to Capital Work-in-Progress</t>
  </si>
  <si>
    <t xml:space="preserve">    (Purchase) / Sale of Long-Term Investments</t>
  </si>
  <si>
    <t xml:space="preserve">Net Cash used in Investing Activities</t>
  </si>
  <si>
    <t xml:space="preserve">Cash Flows from Financing Activities</t>
  </si>
  <si>
    <t xml:space="preserve">    Proceeds from Share Capital Issued</t>
  </si>
  <si>
    <t xml:space="preserve">    Proceeds / (Repayment) of Long-Term Loan</t>
  </si>
  <si>
    <t xml:space="preserve">    Proceeds / (Repayment) of Short-Term Loan</t>
  </si>
  <si>
    <t xml:space="preserve">    Dividends Paid</t>
  </si>
  <si>
    <t xml:space="preserve">Net Cash from Financing Activities</t>
  </si>
  <si>
    <t xml:space="preserve">Net Increase / (Decrease) in Cash</t>
  </si>
  <si>
    <t xml:space="preserve">Cash &amp; Cash Equivalents at Start of Period</t>
  </si>
  <si>
    <t xml:space="preserve">Cash &amp; Cash Equivalents at End of Period</t>
  </si>
  <si>
    <t xml:space="preserve">Control check - Computed closing cash must equal Balance Sheet Cash: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</si>
</sst>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৳#,##0,,\M;&quot;(৳&quot;#,##0,,&quot;M)&quot;"/>
    <numFmt numFmtId="166" formatCode="0.00\x"/>
    <numFmt numFmtId="167" formatCode="0.0%"/>
    <numFmt numFmtId="168" formatCode="#,##0"/>
    <numFmt numFmtId="169" formatCode="General"/>
    <numFmt numFmtId="170" formatCode="#,##0;\(#,##0\);\-"/>
    <numFmt numFmtId="171" formatCode="dd\-mmm\-yy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3"/>
      <color rgb="FF2E6E7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20"/>
      <color rgb="FF2E6E71"/>
      <name val="Arial"/>
      <family val="0"/>
      <charset val="1"/>
    </font>
    <font>
      <b val="true"/>
      <sz val="20"/>
      <color rgb="FFBF9000"/>
      <name val="Arial"/>
      <family val="0"/>
      <charset val="1"/>
    </font>
    <font>
      <b val="true"/>
      <sz val="20"/>
      <color rgb="FF7030A0"/>
      <name val="Arial"/>
      <family val="0"/>
      <charset val="1"/>
    </font>
    <font>
      <b val="true"/>
      <sz val="20"/>
      <color rgb="FFC0504D"/>
      <name val="Arial"/>
      <family val="0"/>
      <charset val="1"/>
    </font>
    <font>
      <b val="true"/>
      <sz val="20"/>
      <color rgb="FF4472C4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i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2E6E7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6E71"/>
        <bgColor rgb="FF2E7D32"/>
      </patternFill>
    </fill>
    <fill>
      <patternFill patternType="solid">
        <fgColor rgb="FFBF9000"/>
        <bgColor rgb="FF808000"/>
      </patternFill>
    </fill>
    <fill>
      <patternFill patternType="solid">
        <fgColor rgb="FF7030A0"/>
        <bgColor rgb="FF800080"/>
      </patternFill>
    </fill>
    <fill>
      <patternFill patternType="solid">
        <fgColor rgb="FFC0504D"/>
        <bgColor rgb="FF993300"/>
      </patternFill>
    </fill>
    <fill>
      <patternFill patternType="solid">
        <fgColor rgb="FF4472C4"/>
        <bgColor rgb="FF4F81BD"/>
      </patternFill>
    </fill>
    <fill>
      <patternFill patternType="solid">
        <fgColor rgb="FFFCFCFC"/>
        <bgColor rgb="FFFFFFFF"/>
      </patternFill>
    </fill>
    <fill>
      <patternFill patternType="solid">
        <fgColor rgb="FFF2F2F2"/>
        <bgColor rgb="FFFCFCFC"/>
      </patternFill>
    </fill>
    <fill>
      <patternFill patternType="solid">
        <fgColor rgb="FFDCE9E9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2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0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2E7D32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71"/>
      <rgbColor rgb="FFB7B7B7"/>
      <rgbColor rgb="FF4F81BD"/>
      <rgbColor rgb="FF9999FF"/>
      <rgbColor rgb="FF7030A0"/>
      <rgbColor rgb="FFFCFCFC"/>
      <rgbColor rgb="FFDCE9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BF9000"/>
      <rgbColor rgb="FFFF6600"/>
      <rgbColor rgb="FF666666"/>
      <rgbColor rgb="FFB3B3B3"/>
      <rgbColor rgb="FF1F3864"/>
      <rgbColor rgb="FF2E7D32"/>
      <rgbColor rgb="FF003300"/>
      <rgbColor rgb="FF333300"/>
      <rgbColor rgb="FF993300"/>
      <rgbColor rgb="FFC0504D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Profitability Cascade (Current Period)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Dashboard!$B$15:$B$18</c:f>
              <c:strCache>
                <c:ptCount val="4"/>
                <c:pt idx="0">
                  <c:v>Total Revenue</c:v>
                </c:pt>
                <c:pt idx="1">
                  <c:v>Gross Profit</c:v>
                </c:pt>
                <c:pt idx="2">
                  <c:v>Operating Profit</c:v>
                </c:pt>
                <c:pt idx="3">
                  <c:v>Net Profit</c:v>
                </c:pt>
              </c:strCache>
            </c:strRef>
          </c:cat>
          <c:val>
            <c:numRef>
              <c:f>Dashboard!$C$15:$C$18</c:f>
              <c:numCache>
                <c:formatCode>#,##0</c:formatCode>
                <c:ptCount val="4"/>
                <c:pt idx="0">
                  <c:v>658000000</c:v>
                </c:pt>
                <c:pt idx="1">
                  <c:v>278000000</c:v>
                </c:pt>
                <c:pt idx="2">
                  <c:v>57477408</c:v>
                </c:pt>
                <c:pt idx="3">
                  <c:v>17477408</c:v>
                </c:pt>
              </c:numCache>
            </c:numRef>
          </c:val>
        </c:ser>
        <c:gapWidth val="150"/>
        <c:overlap val="0"/>
        <c:axId val="94266696"/>
        <c:axId val="921749"/>
      </c:barChart>
      <c:catAx>
        <c:axId val="94266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749"/>
        <c:crosses val="autoZero"/>
        <c:auto val="1"/>
        <c:lblAlgn val="ctr"/>
        <c:lblOffset val="100"/>
        <c:noMultiLvlLbl val="0"/>
      </c:catAx>
      <c:valAx>
        <c:axId val="9217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(Taka)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666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Expense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6e7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030a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Dashboard!$B$21:$B$25</c:f>
              <c:strCache>
                <c:ptCount val="5"/>
                <c:pt idx="0">
                  <c:v>Salaries &amp; Wages</c:v>
                </c:pt>
                <c:pt idx="1">
                  <c:v>Rent Expense</c:v>
                </c:pt>
                <c:pt idx="2">
                  <c:v>Depreciation</c:v>
                </c:pt>
                <c:pt idx="3">
                  <c:v>Utilities</c:v>
                </c:pt>
                <c:pt idx="4">
                  <c:v>Office &amp; Admin</c:v>
                </c:pt>
              </c:strCache>
            </c:strRef>
          </c:cat>
          <c:val>
            <c:numRef>
              <c:f>Dashboard!$C$21:$C$25</c:f>
              <c:numCache>
                <c:formatCode>#,##0</c:formatCode>
                <c:ptCount val="5"/>
                <c:pt idx="0">
                  <c:v>90000000</c:v>
                </c:pt>
                <c:pt idx="1">
                  <c:v>12000000</c:v>
                </c:pt>
                <c:pt idx="2">
                  <c:v>79522592</c:v>
                </c:pt>
                <c:pt idx="3">
                  <c:v>6000000</c:v>
                </c:pt>
                <c:pt idx="4">
                  <c:v>33000000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Balance Sheet: Current vs Prior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Dashboard!C27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2e6e7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Dashboard!$B$28:$B$30</c:f>
              <c:strCache>
                <c:ptCount val="3"/>
                <c:pt idx="0">
                  <c:v>Total Assets</c:v>
                </c:pt>
                <c:pt idx="1">
                  <c:v>Total Equity</c:v>
                </c:pt>
                <c:pt idx="2">
                  <c:v>Total Liabilities</c:v>
                </c:pt>
              </c:strCache>
            </c:strRef>
          </c:cat>
          <c:val>
            <c:numRef>
              <c:f>Dashboard!$C$28:$C$30</c:f>
              <c:numCache>
                <c:formatCode>#,##0</c:formatCode>
                <c:ptCount val="3"/>
                <c:pt idx="0">
                  <c:v>1239477408</c:v>
                </c:pt>
                <c:pt idx="1">
                  <c:v>702477408</c:v>
                </c:pt>
                <c:pt idx="2">
                  <c:v>537000000</c:v>
                </c:pt>
              </c:numCache>
            </c:numRef>
          </c:val>
        </c:ser>
        <c:ser>
          <c:idx val="1"/>
          <c:order val="1"/>
          <c:tx>
            <c:strRef>
              <c:f>Dashboard!D27</c:f>
              <c:strCache>
                <c:ptCount val="1"/>
                <c:pt idx="0">
                  <c:v>Prior</c:v>
                </c:pt>
              </c:strCache>
            </c:strRef>
          </c:tx>
          <c:spPr>
            <a:solidFill>
              <a:srgbClr val="bf9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Dashboard!$B$28:$B$30</c:f>
              <c:strCache>
                <c:ptCount val="3"/>
                <c:pt idx="0">
                  <c:v>Total Assets</c:v>
                </c:pt>
                <c:pt idx="1">
                  <c:v>Total Equity</c:v>
                </c:pt>
                <c:pt idx="2">
                  <c:v>Total Liabilities</c:v>
                </c:pt>
              </c:strCache>
            </c:strRef>
          </c:cat>
          <c:val>
            <c:numRef>
              <c:f>Dashboard!$D$28:$D$30</c:f>
              <c:numCache>
                <c:formatCode>#,##0</c:formatCode>
                <c:ptCount val="3"/>
                <c:pt idx="0">
                  <c:v>1270000000</c:v>
                </c:pt>
                <c:pt idx="1">
                  <c:v>725000000</c:v>
                </c:pt>
                <c:pt idx="2">
                  <c:v>545000000</c:v>
                </c:pt>
              </c:numCache>
            </c:numRef>
          </c:val>
        </c:ser>
        <c:gapWidth val="150"/>
        <c:overlap val="0"/>
        <c:axId val="65366684"/>
        <c:axId val="57654708"/>
      </c:barChart>
      <c:catAx>
        <c:axId val="653666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54708"/>
        <c:crosses val="autoZero"/>
        <c:auto val="1"/>
        <c:lblAlgn val="ctr"/>
        <c:lblOffset val="100"/>
        <c:noMultiLvlLbl val="0"/>
      </c:catAx>
      <c:valAx>
        <c:axId val="576547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(Taka)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666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12</xdr:row>
      <xdr:rowOff>86040</xdr:rowOff>
    </xdr:from>
    <xdr:to>
      <xdr:col>11</xdr:col>
      <xdr:colOff>387360</xdr:colOff>
      <xdr:row>27</xdr:row>
      <xdr:rowOff>108000</xdr:rowOff>
    </xdr:to>
    <xdr:graphicFrame>
      <xdr:nvGraphicFramePr>
        <xdr:cNvPr id="0" name="Chart 1"/>
        <xdr:cNvGraphicFramePr/>
      </xdr:nvGraphicFramePr>
      <xdr:xfrm>
        <a:off x="3383280" y="263880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12</xdr:row>
      <xdr:rowOff>86040</xdr:rowOff>
    </xdr:from>
    <xdr:to>
      <xdr:col>7</xdr:col>
      <xdr:colOff>316800</xdr:colOff>
      <xdr:row>27</xdr:row>
      <xdr:rowOff>108000</xdr:rowOff>
    </xdr:to>
    <xdr:graphicFrame>
      <xdr:nvGraphicFramePr>
        <xdr:cNvPr id="1" name="Chart 2"/>
        <xdr:cNvGraphicFramePr/>
      </xdr:nvGraphicFramePr>
      <xdr:xfrm>
        <a:off x="211320" y="263880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12</xdr:row>
      <xdr:rowOff>86040</xdr:rowOff>
    </xdr:from>
    <xdr:to>
      <xdr:col>18</xdr:col>
      <xdr:colOff>387360</xdr:colOff>
      <xdr:row>27</xdr:row>
      <xdr:rowOff>108000</xdr:rowOff>
    </xdr:to>
    <xdr:graphicFrame>
      <xdr:nvGraphicFramePr>
        <xdr:cNvPr id="2" name="Chart 3"/>
        <xdr:cNvGraphicFramePr/>
      </xdr:nvGraphicFramePr>
      <xdr:xfrm>
        <a:off x="8810640" y="263880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true"/>
  </sheetPr>
  <dimension ref="B2:X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24" min="3" style="1" width="11"/>
  </cols>
  <sheetData>
    <row r="2" customFormat="false" ht="21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customFormat="false" ht="15" hidden="false" customHeight="true" outlineLevel="0" collapsed="false"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7" customFormat="false" ht="15" hidden="false" customHeight="true" outlineLevel="0" collapsed="false">
      <c r="B7" s="6" t="s">
        <v>4</v>
      </c>
      <c r="C7" s="6"/>
      <c r="D7" s="6"/>
      <c r="F7" s="7" t="s">
        <v>5</v>
      </c>
      <c r="G7" s="7"/>
      <c r="H7" s="7"/>
      <c r="J7" s="8" t="s">
        <v>6</v>
      </c>
      <c r="K7" s="8"/>
      <c r="L7" s="8"/>
      <c r="N7" s="9" t="s">
        <v>7</v>
      </c>
      <c r="O7" s="9"/>
      <c r="P7" s="9"/>
      <c r="R7" s="10" t="s">
        <v>8</v>
      </c>
      <c r="S7" s="10"/>
      <c r="T7" s="10"/>
      <c r="V7" s="11" t="s">
        <v>9</v>
      </c>
      <c r="W7" s="11"/>
      <c r="X7" s="11"/>
    </row>
    <row r="8" customFormat="false" ht="21.75" hidden="false" customHeight="true" outlineLevel="0" collapsed="false">
      <c r="B8" s="12" t="n">
        <f aca="false">'Profit &amp; Loss'!D12</f>
        <v>658000000</v>
      </c>
      <c r="C8" s="12"/>
      <c r="D8" s="12"/>
      <c r="F8" s="13" t="n">
        <f aca="false">'Profit &amp; Loss'!D32</f>
        <v>17477408</v>
      </c>
      <c r="G8" s="13"/>
      <c r="H8" s="13"/>
      <c r="J8" s="14" t="n">
        <f aca="false">'Balance Sheet'!D23</f>
        <v>1239477408</v>
      </c>
      <c r="K8" s="14"/>
      <c r="L8" s="14"/>
      <c r="N8" s="15" t="n">
        <f aca="false">'Balance Sheet'!D31</f>
        <v>702477408</v>
      </c>
      <c r="O8" s="15"/>
      <c r="P8" s="15"/>
      <c r="R8" s="16" t="n">
        <f aca="false">ROUND('Balance Sheet'!D21/'Balance Sheet'!D43,2)</f>
        <v>1.01</v>
      </c>
      <c r="S8" s="16"/>
      <c r="T8" s="16"/>
      <c r="V8" s="17" t="n">
        <f aca="false">ROUND('Profit &amp; Loss'!D32/'Profit &amp; Loss'!D12,4)</f>
        <v>0.0266</v>
      </c>
      <c r="W8" s="17"/>
      <c r="X8" s="17"/>
    </row>
    <row r="9" customFormat="false" ht="21.75" hidden="false" customHeight="true" outlineLevel="0" collapsed="false">
      <c r="B9" s="12"/>
      <c r="C9" s="12"/>
      <c r="D9" s="12"/>
      <c r="F9" s="13"/>
      <c r="G9" s="13"/>
      <c r="H9" s="13"/>
      <c r="J9" s="14"/>
      <c r="K9" s="14"/>
      <c r="L9" s="14"/>
      <c r="N9" s="15"/>
      <c r="O9" s="15"/>
      <c r="P9" s="15"/>
      <c r="R9" s="16"/>
      <c r="S9" s="16"/>
      <c r="T9" s="16"/>
      <c r="V9" s="17"/>
      <c r="W9" s="17"/>
      <c r="X9" s="17"/>
    </row>
    <row r="10" customFormat="false" ht="15" hidden="false" customHeight="true" outlineLevel="0" collapsed="false">
      <c r="B10" s="18" t="s">
        <v>10</v>
      </c>
      <c r="C10" s="18"/>
      <c r="D10" s="18"/>
      <c r="F10" s="18" t="s">
        <v>10</v>
      </c>
      <c r="G10" s="18"/>
      <c r="H10" s="18"/>
      <c r="J10" s="18" t="s">
        <v>10</v>
      </c>
      <c r="K10" s="18"/>
      <c r="L10" s="18"/>
      <c r="N10" s="18" t="s">
        <v>10</v>
      </c>
      <c r="O10" s="18"/>
      <c r="P10" s="18"/>
      <c r="R10" s="18" t="s">
        <v>11</v>
      </c>
      <c r="S10" s="18"/>
      <c r="T10" s="18"/>
      <c r="V10" s="18" t="s">
        <v>11</v>
      </c>
      <c r="W10" s="18"/>
      <c r="X10" s="18"/>
    </row>
    <row r="13" customFormat="false" ht="15" hidden="false" customHeight="true" outlineLevel="0" collapsed="false">
      <c r="B13" s="19" t="s">
        <v>12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customFormat="false" ht="15" hidden="false" customHeight="true" outlineLevel="0" collapsed="false">
      <c r="B14" s="20" t="s">
        <v>13</v>
      </c>
      <c r="C14" s="20" t="s">
        <v>14</v>
      </c>
      <c r="D14" s="21"/>
    </row>
    <row r="15" customFormat="false" ht="15" hidden="false" customHeight="true" outlineLevel="0" collapsed="false">
      <c r="B15" s="21" t="s">
        <v>15</v>
      </c>
      <c r="C15" s="22" t="n">
        <f aca="false">'Profit &amp; Loss'!D12</f>
        <v>658000000</v>
      </c>
      <c r="D15" s="21"/>
    </row>
    <row r="16" customFormat="false" ht="15" hidden="false" customHeight="true" outlineLevel="0" collapsed="false">
      <c r="B16" s="21" t="s">
        <v>16</v>
      </c>
      <c r="C16" s="22" t="n">
        <f aca="false">'Profit &amp; Loss'!D16</f>
        <v>278000000</v>
      </c>
      <c r="D16" s="21"/>
    </row>
    <row r="17" customFormat="false" ht="15" hidden="false" customHeight="true" outlineLevel="0" collapsed="false">
      <c r="B17" s="21" t="s">
        <v>17</v>
      </c>
      <c r="C17" s="22" t="n">
        <f aca="false">'Profit &amp; Loss'!D26</f>
        <v>57477408</v>
      </c>
      <c r="D17" s="21"/>
    </row>
    <row r="18" customFormat="false" ht="15" hidden="false" customHeight="true" outlineLevel="0" collapsed="false">
      <c r="B18" s="21" t="s">
        <v>18</v>
      </c>
      <c r="C18" s="22" t="n">
        <f aca="false">'Profit &amp; Loss'!D32</f>
        <v>17477408</v>
      </c>
      <c r="D18" s="21"/>
    </row>
    <row r="19" customFormat="false" ht="15" hidden="false" customHeight="true" outlineLevel="0" collapsed="false">
      <c r="B19" s="21"/>
      <c r="C19" s="21"/>
      <c r="D19" s="21"/>
    </row>
    <row r="20" customFormat="false" ht="15" hidden="false" customHeight="true" outlineLevel="0" collapsed="false">
      <c r="B20" s="20" t="s">
        <v>19</v>
      </c>
      <c r="C20" s="20" t="s">
        <v>14</v>
      </c>
      <c r="D20" s="21"/>
    </row>
    <row r="21" customFormat="false" ht="15" hidden="false" customHeight="true" outlineLevel="0" collapsed="false">
      <c r="B21" s="21" t="s">
        <v>20</v>
      </c>
      <c r="C21" s="22" t="n">
        <f aca="false">'Profit &amp; Loss'!D19</f>
        <v>90000000</v>
      </c>
      <c r="D21" s="21"/>
    </row>
    <row r="22" customFormat="false" ht="15" hidden="false" customHeight="true" outlineLevel="0" collapsed="false">
      <c r="B22" s="21" t="s">
        <v>21</v>
      </c>
      <c r="C22" s="22" t="n">
        <f aca="false">'Profit &amp; Loss'!D20</f>
        <v>12000000</v>
      </c>
      <c r="D22" s="21"/>
    </row>
    <row r="23" customFormat="false" ht="15" hidden="false" customHeight="true" outlineLevel="0" collapsed="false">
      <c r="B23" s="21" t="s">
        <v>22</v>
      </c>
      <c r="C23" s="22" t="n">
        <f aca="false">'Profit &amp; Loss'!D21</f>
        <v>79522592</v>
      </c>
      <c r="D23" s="21"/>
    </row>
    <row r="24" customFormat="false" ht="15" hidden="false" customHeight="true" outlineLevel="0" collapsed="false">
      <c r="B24" s="21" t="s">
        <v>23</v>
      </c>
      <c r="C24" s="22" t="n">
        <f aca="false">'Profit &amp; Loss'!D22</f>
        <v>6000000</v>
      </c>
      <c r="D24" s="21"/>
    </row>
    <row r="25" customFormat="false" ht="15" hidden="false" customHeight="true" outlineLevel="0" collapsed="false">
      <c r="B25" s="21" t="s">
        <v>24</v>
      </c>
      <c r="C25" s="22" t="n">
        <f aca="false">'Profit &amp; Loss'!D23</f>
        <v>33000000</v>
      </c>
      <c r="D25" s="21"/>
    </row>
    <row r="26" customFormat="false" ht="15" hidden="false" customHeight="true" outlineLevel="0" collapsed="false">
      <c r="B26" s="21"/>
      <c r="C26" s="21"/>
      <c r="D26" s="21"/>
    </row>
    <row r="27" customFormat="false" ht="15" hidden="false" customHeight="true" outlineLevel="0" collapsed="false">
      <c r="B27" s="20" t="s">
        <v>25</v>
      </c>
      <c r="C27" s="20" t="s">
        <v>26</v>
      </c>
      <c r="D27" s="20" t="s">
        <v>27</v>
      </c>
    </row>
    <row r="28" customFormat="false" ht="15" hidden="false" customHeight="true" outlineLevel="0" collapsed="false">
      <c r="B28" s="21" t="s">
        <v>28</v>
      </c>
      <c r="C28" s="22" t="n">
        <f aca="false">'Balance Sheet'!D23</f>
        <v>1239477408</v>
      </c>
      <c r="D28" s="22" t="n">
        <f aca="false">'Balance Sheet'!E23</f>
        <v>1270000000</v>
      </c>
    </row>
    <row r="29" customFormat="false" ht="15" hidden="false" customHeight="true" outlineLevel="0" collapsed="false">
      <c r="B29" s="21" t="s">
        <v>29</v>
      </c>
      <c r="C29" s="22" t="n">
        <f aca="false">'Balance Sheet'!D31</f>
        <v>702477408</v>
      </c>
      <c r="D29" s="22" t="n">
        <f aca="false">'Balance Sheet'!E31</f>
        <v>725000000</v>
      </c>
    </row>
    <row r="30" customFormat="false" ht="15" hidden="false" customHeight="true" outlineLevel="0" collapsed="false">
      <c r="B30" s="21" t="s">
        <v>30</v>
      </c>
      <c r="C30" s="22" t="n">
        <f aca="false">'Balance Sheet'!D36+'Balance Sheet'!D43</f>
        <v>537000000</v>
      </c>
      <c r="D30" s="22" t="n">
        <f aca="false">'Balance Sheet'!E36+'Balance Sheet'!E43</f>
        <v>545000000</v>
      </c>
    </row>
  </sheetData>
  <mergeCells count="23">
    <mergeCell ref="B2:X2"/>
    <mergeCell ref="B3:X3"/>
    <mergeCell ref="B4:X4"/>
    <mergeCell ref="B5:X5"/>
    <mergeCell ref="B7:D7"/>
    <mergeCell ref="F7:H7"/>
    <mergeCell ref="J7:L7"/>
    <mergeCell ref="N7:P7"/>
    <mergeCell ref="R7:T7"/>
    <mergeCell ref="V7:X7"/>
    <mergeCell ref="B8:D9"/>
    <mergeCell ref="F8:H9"/>
    <mergeCell ref="J8:L9"/>
    <mergeCell ref="N8:P9"/>
    <mergeCell ref="R8:T9"/>
    <mergeCell ref="V8:X9"/>
    <mergeCell ref="B10:D10"/>
    <mergeCell ref="F10:H10"/>
    <mergeCell ref="J10:L10"/>
    <mergeCell ref="N10:P10"/>
    <mergeCell ref="R10:T10"/>
    <mergeCell ref="V10:X10"/>
    <mergeCell ref="B13:X1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21.75" hidden="false" customHeight="true" outlineLevel="0" collapsed="false">
      <c r="B2" s="23" t="s">
        <v>31</v>
      </c>
    </row>
    <row r="3" customFormat="false" ht="15" hidden="false" customHeight="true" outlineLevel="0" collapsed="false">
      <c r="B3" s="24" t="s">
        <v>32</v>
      </c>
    </row>
    <row r="5" customFormat="false" ht="15" hidden="false" customHeight="true" outlineLevel="0" collapsed="false">
      <c r="B5" s="25" t="s">
        <v>33</v>
      </c>
    </row>
    <row r="6" customFormat="false" ht="23.25" hidden="false" customHeight="true" outlineLevel="0" collapsed="false">
      <c r="B6" s="26" t="s">
        <v>34</v>
      </c>
    </row>
    <row r="7" customFormat="false" ht="23.25" hidden="false" customHeight="true" outlineLevel="0" collapsed="false">
      <c r="B7" s="26" t="s">
        <v>35</v>
      </c>
    </row>
    <row r="8" customFormat="false" ht="23.25" hidden="false" customHeight="true" outlineLevel="0" collapsed="false">
      <c r="B8" s="26" t="s">
        <v>36</v>
      </c>
    </row>
    <row r="9" customFormat="false" ht="23.25" hidden="false" customHeight="true" outlineLevel="0" collapsed="false">
      <c r="B9" s="26" t="s">
        <v>37</v>
      </c>
    </row>
    <row r="10" customFormat="false" ht="15" hidden="false" customHeight="true" outlineLevel="0" collapsed="false">
      <c r="B10" s="26"/>
    </row>
    <row r="11" customFormat="false" ht="15" hidden="false" customHeight="true" outlineLevel="0" collapsed="false">
      <c r="B11" s="25" t="s">
        <v>38</v>
      </c>
    </row>
    <row r="12" customFormat="false" ht="34.5" hidden="false" customHeight="true" outlineLevel="0" collapsed="false">
      <c r="B12" s="26" t="s">
        <v>39</v>
      </c>
    </row>
    <row r="13" customFormat="false" ht="15" hidden="false" customHeight="true" outlineLevel="0" collapsed="false">
      <c r="B13" s="26"/>
    </row>
    <row r="14" customFormat="false" ht="15" hidden="false" customHeight="true" outlineLevel="0" collapsed="false">
      <c r="B14" s="25" t="s">
        <v>40</v>
      </c>
    </row>
    <row r="15" customFormat="false" ht="15" hidden="false" customHeight="true" outlineLevel="0" collapsed="false">
      <c r="B15" s="26" t="s">
        <v>41</v>
      </c>
    </row>
    <row r="16" customFormat="false" ht="15" hidden="false" customHeight="true" outlineLevel="0" collapsed="false">
      <c r="B16" s="26" t="s">
        <v>42</v>
      </c>
    </row>
    <row r="17" customFormat="false" ht="15" hidden="false" customHeight="true" outlineLevel="0" collapsed="false">
      <c r="B17" s="26" t="s">
        <v>43</v>
      </c>
    </row>
    <row r="18" customFormat="false" ht="15" hidden="false" customHeight="true" outlineLevel="0" collapsed="false">
      <c r="B18" s="26" t="s">
        <v>44</v>
      </c>
    </row>
    <row r="19" customFormat="false" ht="15" hidden="false" customHeight="true" outlineLevel="0" collapsed="false">
      <c r="B19" s="26"/>
    </row>
    <row r="20" customFormat="false" ht="15" hidden="false" customHeight="true" outlineLevel="0" collapsed="false">
      <c r="B20" s="25" t="s">
        <v>45</v>
      </c>
    </row>
    <row r="21" customFormat="false" ht="15" hidden="false" customHeight="true" outlineLevel="0" collapsed="false">
      <c r="B21" s="26" t="s">
        <v>46</v>
      </c>
    </row>
    <row r="22" customFormat="false" ht="15" hidden="false" customHeight="true" outlineLevel="0" collapsed="false">
      <c r="B22" s="26" t="s">
        <v>47</v>
      </c>
    </row>
    <row r="23" customFormat="false" ht="15" hidden="false" customHeight="true" outlineLevel="0" collapsed="false">
      <c r="B23" s="26" t="s">
        <v>48</v>
      </c>
    </row>
    <row r="24" customFormat="false" ht="15" hidden="false" customHeight="true" outlineLevel="0" collapsed="false">
      <c r="B24" s="26" t="s">
        <v>49</v>
      </c>
    </row>
    <row r="25" customFormat="false" ht="15" hidden="false" customHeight="true" outlineLevel="0" collapsed="false">
      <c r="B25" s="26" t="s">
        <v>50</v>
      </c>
    </row>
    <row r="26" customFormat="false" ht="15" hidden="false" customHeight="true" outlineLevel="0" collapsed="false">
      <c r="B26" s="26" t="s">
        <v>51</v>
      </c>
    </row>
    <row r="27" customFormat="false" ht="15" hidden="false" customHeight="true" outlineLevel="0" collapsed="false">
      <c r="B27" s="26" t="s">
        <v>52</v>
      </c>
    </row>
    <row r="28" customFormat="false" ht="15" hidden="false" customHeight="true" outlineLevel="0" collapsed="false">
      <c r="B28" s="26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4" min="4" style="1" width="10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2"/>
    <col collapsed="false" customWidth="true" hidden="false" outlineLevel="0" max="8" min="8" style="1" width="16"/>
    <col collapsed="false" customWidth="true" hidden="false" outlineLevel="0" max="9" min="9" style="1" width="30"/>
  </cols>
  <sheetData>
    <row r="2" customFormat="false" ht="17.25" hidden="false" customHeight="true" outlineLevel="0" collapsed="false">
      <c r="B2" s="27" t="s">
        <v>54</v>
      </c>
    </row>
    <row r="3" customFormat="false" ht="15" hidden="false" customHeight="true" outlineLevel="0" collapsed="false">
      <c r="B3" s="28" t="s">
        <v>55</v>
      </c>
    </row>
    <row r="5" customFormat="false" ht="23.25" hidden="false" customHeight="true" outlineLevel="0" collapsed="false">
      <c r="B5" s="29" t="s">
        <v>56</v>
      </c>
      <c r="C5" s="29" t="s">
        <v>57</v>
      </c>
      <c r="D5" s="29" t="s">
        <v>58</v>
      </c>
      <c r="E5" s="29" t="s">
        <v>59</v>
      </c>
      <c r="F5" s="29" t="s">
        <v>60</v>
      </c>
      <c r="G5" s="29" t="s">
        <v>61</v>
      </c>
      <c r="H5" s="29" t="s">
        <v>62</v>
      </c>
      <c r="I5" s="29" t="s">
        <v>63</v>
      </c>
    </row>
    <row r="6" customFormat="false" ht="15" hidden="false" customHeight="true" outlineLevel="0" collapsed="false">
      <c r="B6" s="30" t="n">
        <v>1000</v>
      </c>
      <c r="C6" s="31" t="s">
        <v>64</v>
      </c>
      <c r="D6" s="31" t="s">
        <v>65</v>
      </c>
      <c r="E6" s="31" t="s">
        <v>66</v>
      </c>
      <c r="F6" s="31" t="s">
        <v>67</v>
      </c>
      <c r="G6" s="31" t="s">
        <v>68</v>
      </c>
      <c r="H6" s="31" t="s">
        <v>69</v>
      </c>
      <c r="I6" s="31"/>
    </row>
    <row r="7" customFormat="false" ht="15" hidden="false" customHeight="true" outlineLevel="0" collapsed="false">
      <c r="B7" s="32" t="n">
        <v>1010</v>
      </c>
      <c r="C7" s="33" t="s">
        <v>70</v>
      </c>
      <c r="D7" s="33" t="s">
        <v>65</v>
      </c>
      <c r="E7" s="33" t="s">
        <v>66</v>
      </c>
      <c r="F7" s="33" t="s">
        <v>67</v>
      </c>
      <c r="G7" s="33" t="s">
        <v>71</v>
      </c>
      <c r="H7" s="33" t="s">
        <v>72</v>
      </c>
      <c r="I7" s="33"/>
    </row>
    <row r="8" customFormat="false" ht="15" hidden="false" customHeight="true" outlineLevel="0" collapsed="false">
      <c r="B8" s="30" t="n">
        <v>1020</v>
      </c>
      <c r="C8" s="31" t="s">
        <v>73</v>
      </c>
      <c r="D8" s="31" t="s">
        <v>65</v>
      </c>
      <c r="E8" s="31" t="s">
        <v>66</v>
      </c>
      <c r="F8" s="31" t="s">
        <v>67</v>
      </c>
      <c r="G8" s="31" t="s">
        <v>68</v>
      </c>
      <c r="H8" s="31" t="s">
        <v>69</v>
      </c>
      <c r="I8" s="31"/>
    </row>
    <row r="9" customFormat="false" ht="15" hidden="false" customHeight="true" outlineLevel="0" collapsed="false">
      <c r="B9" s="32" t="n">
        <v>1030</v>
      </c>
      <c r="C9" s="33" t="s">
        <v>74</v>
      </c>
      <c r="D9" s="33" t="s">
        <v>65</v>
      </c>
      <c r="E9" s="33" t="s">
        <v>66</v>
      </c>
      <c r="F9" s="33" t="s">
        <v>67</v>
      </c>
      <c r="G9" s="33" t="s">
        <v>68</v>
      </c>
      <c r="H9" s="33" t="s">
        <v>69</v>
      </c>
      <c r="I9" s="33"/>
    </row>
    <row r="10" customFormat="false" ht="15" hidden="false" customHeight="true" outlineLevel="0" collapsed="false">
      <c r="B10" s="30" t="n">
        <v>1100</v>
      </c>
      <c r="C10" s="31" t="s">
        <v>75</v>
      </c>
      <c r="D10" s="31" t="s">
        <v>65</v>
      </c>
      <c r="E10" s="31" t="s">
        <v>66</v>
      </c>
      <c r="F10" s="31" t="s">
        <v>76</v>
      </c>
      <c r="G10" s="31" t="s">
        <v>68</v>
      </c>
      <c r="H10" s="31" t="s">
        <v>77</v>
      </c>
      <c r="I10" s="31"/>
    </row>
    <row r="11" customFormat="false" ht="15" hidden="false" customHeight="true" outlineLevel="0" collapsed="false">
      <c r="B11" s="32" t="n">
        <v>1110</v>
      </c>
      <c r="C11" s="33" t="s">
        <v>78</v>
      </c>
      <c r="D11" s="33" t="s">
        <v>65</v>
      </c>
      <c r="E11" s="33" t="s">
        <v>66</v>
      </c>
      <c r="F11" s="33" t="s">
        <v>76</v>
      </c>
      <c r="G11" s="33" t="s">
        <v>68</v>
      </c>
      <c r="H11" s="33" t="s">
        <v>77</v>
      </c>
      <c r="I11" s="33"/>
    </row>
    <row r="12" customFormat="false" ht="15" hidden="false" customHeight="true" outlineLevel="0" collapsed="false">
      <c r="B12" s="30" t="n">
        <v>1120</v>
      </c>
      <c r="C12" s="31" t="s">
        <v>79</v>
      </c>
      <c r="D12" s="31" t="s">
        <v>65</v>
      </c>
      <c r="E12" s="31" t="s">
        <v>66</v>
      </c>
      <c r="F12" s="31" t="s">
        <v>76</v>
      </c>
      <c r="G12" s="31" t="s">
        <v>68</v>
      </c>
      <c r="H12" s="31" t="s">
        <v>77</v>
      </c>
      <c r="I12" s="31"/>
    </row>
    <row r="13" customFormat="false" ht="15" hidden="false" customHeight="true" outlineLevel="0" collapsed="false">
      <c r="B13" s="32" t="n">
        <v>1130</v>
      </c>
      <c r="C13" s="33" t="s">
        <v>80</v>
      </c>
      <c r="D13" s="33" t="s">
        <v>65</v>
      </c>
      <c r="E13" s="33" t="s">
        <v>66</v>
      </c>
      <c r="F13" s="33" t="s">
        <v>76</v>
      </c>
      <c r="G13" s="33" t="s">
        <v>68</v>
      </c>
      <c r="H13" s="33" t="s">
        <v>81</v>
      </c>
      <c r="I13" s="33"/>
    </row>
    <row r="14" customFormat="false" ht="15" hidden="false" customHeight="true" outlineLevel="0" collapsed="false">
      <c r="B14" s="30" t="n">
        <v>2000</v>
      </c>
      <c r="C14" s="31" t="s">
        <v>82</v>
      </c>
      <c r="D14" s="31" t="s">
        <v>65</v>
      </c>
      <c r="E14" s="31" t="s">
        <v>83</v>
      </c>
      <c r="F14" s="31" t="s">
        <v>84</v>
      </c>
      <c r="G14" s="31" t="s">
        <v>71</v>
      </c>
      <c r="H14" s="31" t="s">
        <v>85</v>
      </c>
      <c r="I14" s="31"/>
    </row>
    <row r="15" customFormat="false" ht="15" hidden="false" customHeight="true" outlineLevel="0" collapsed="false">
      <c r="B15" s="32" t="n">
        <v>2010</v>
      </c>
      <c r="C15" s="33" t="s">
        <v>86</v>
      </c>
      <c r="D15" s="33" t="s">
        <v>65</v>
      </c>
      <c r="E15" s="33" t="s">
        <v>83</v>
      </c>
      <c r="F15" s="33" t="s">
        <v>84</v>
      </c>
      <c r="G15" s="33" t="s">
        <v>71</v>
      </c>
      <c r="H15" s="33" t="s">
        <v>77</v>
      </c>
      <c r="I15" s="33"/>
    </row>
    <row r="16" customFormat="false" ht="15" hidden="false" customHeight="true" outlineLevel="0" collapsed="false">
      <c r="B16" s="30" t="n">
        <v>2100</v>
      </c>
      <c r="C16" s="31" t="s">
        <v>87</v>
      </c>
      <c r="D16" s="31" t="s">
        <v>65</v>
      </c>
      <c r="E16" s="31" t="s">
        <v>83</v>
      </c>
      <c r="F16" s="31" t="s">
        <v>88</v>
      </c>
      <c r="G16" s="31" t="s">
        <v>71</v>
      </c>
      <c r="H16" s="31" t="s">
        <v>77</v>
      </c>
      <c r="I16" s="31"/>
    </row>
    <row r="17" customFormat="false" ht="15" hidden="false" customHeight="true" outlineLevel="0" collapsed="false">
      <c r="B17" s="32" t="n">
        <v>2110</v>
      </c>
      <c r="C17" s="33" t="s">
        <v>89</v>
      </c>
      <c r="D17" s="33" t="s">
        <v>65</v>
      </c>
      <c r="E17" s="33" t="s">
        <v>83</v>
      </c>
      <c r="F17" s="33" t="s">
        <v>88</v>
      </c>
      <c r="G17" s="33" t="s">
        <v>71</v>
      </c>
      <c r="H17" s="33" t="s">
        <v>77</v>
      </c>
      <c r="I17" s="33"/>
    </row>
    <row r="18" customFormat="false" ht="15" hidden="false" customHeight="true" outlineLevel="0" collapsed="false">
      <c r="B18" s="30" t="n">
        <v>2120</v>
      </c>
      <c r="C18" s="31" t="s">
        <v>90</v>
      </c>
      <c r="D18" s="31" t="s">
        <v>65</v>
      </c>
      <c r="E18" s="31" t="s">
        <v>83</v>
      </c>
      <c r="F18" s="31" t="s">
        <v>88</v>
      </c>
      <c r="G18" s="31" t="s">
        <v>71</v>
      </c>
      <c r="H18" s="31" t="s">
        <v>85</v>
      </c>
      <c r="I18" s="31"/>
    </row>
    <row r="19" customFormat="false" ht="15" hidden="false" customHeight="true" outlineLevel="0" collapsed="false">
      <c r="B19" s="32" t="n">
        <v>2130</v>
      </c>
      <c r="C19" s="33" t="s">
        <v>91</v>
      </c>
      <c r="D19" s="33" t="s">
        <v>65</v>
      </c>
      <c r="E19" s="33" t="s">
        <v>83</v>
      </c>
      <c r="F19" s="33" t="s">
        <v>88</v>
      </c>
      <c r="G19" s="33" t="s">
        <v>71</v>
      </c>
      <c r="H19" s="33" t="s">
        <v>77</v>
      </c>
      <c r="I19" s="33"/>
    </row>
    <row r="20" customFormat="false" ht="15" hidden="false" customHeight="true" outlineLevel="0" collapsed="false">
      <c r="B20" s="30" t="n">
        <v>3000</v>
      </c>
      <c r="C20" s="31" t="s">
        <v>92</v>
      </c>
      <c r="D20" s="31" t="s">
        <v>65</v>
      </c>
      <c r="E20" s="31" t="s">
        <v>93</v>
      </c>
      <c r="F20" s="31" t="s">
        <v>93</v>
      </c>
      <c r="G20" s="31" t="s">
        <v>71</v>
      </c>
      <c r="H20" s="31" t="s">
        <v>85</v>
      </c>
      <c r="I20" s="31"/>
    </row>
    <row r="21" customFormat="false" ht="15" hidden="false" customHeight="true" outlineLevel="0" collapsed="false">
      <c r="B21" s="32" t="n">
        <v>3010</v>
      </c>
      <c r="C21" s="33" t="s">
        <v>94</v>
      </c>
      <c r="D21" s="33" t="s">
        <v>65</v>
      </c>
      <c r="E21" s="33" t="s">
        <v>93</v>
      </c>
      <c r="F21" s="33" t="s">
        <v>93</v>
      </c>
      <c r="G21" s="33" t="s">
        <v>71</v>
      </c>
      <c r="H21" s="33" t="s">
        <v>85</v>
      </c>
      <c r="I21" s="33"/>
    </row>
    <row r="22" customFormat="false" ht="15" hidden="false" customHeight="true" outlineLevel="0" collapsed="false">
      <c r="B22" s="30" t="n">
        <v>3020</v>
      </c>
      <c r="C22" s="31" t="s">
        <v>95</v>
      </c>
      <c r="D22" s="31" t="s">
        <v>65</v>
      </c>
      <c r="E22" s="31" t="s">
        <v>93</v>
      </c>
      <c r="F22" s="31" t="s">
        <v>93</v>
      </c>
      <c r="G22" s="31" t="s">
        <v>71</v>
      </c>
      <c r="H22" s="31" t="s">
        <v>85</v>
      </c>
      <c r="I22" s="31"/>
    </row>
    <row r="23" customFormat="false" ht="15" hidden="false" customHeight="true" outlineLevel="0" collapsed="false">
      <c r="B23" s="32" t="n">
        <v>4000</v>
      </c>
      <c r="C23" s="33" t="s">
        <v>96</v>
      </c>
      <c r="D23" s="33" t="s">
        <v>97</v>
      </c>
      <c r="E23" s="33" t="s">
        <v>98</v>
      </c>
      <c r="F23" s="33" t="s">
        <v>98</v>
      </c>
      <c r="G23" s="33" t="s">
        <v>71</v>
      </c>
      <c r="H23" s="33" t="s">
        <v>77</v>
      </c>
      <c r="I23" s="33"/>
    </row>
    <row r="24" customFormat="false" ht="15" hidden="false" customHeight="true" outlineLevel="0" collapsed="false">
      <c r="B24" s="30" t="n">
        <v>4010</v>
      </c>
      <c r="C24" s="31" t="s">
        <v>99</v>
      </c>
      <c r="D24" s="31" t="s">
        <v>97</v>
      </c>
      <c r="E24" s="31" t="s">
        <v>98</v>
      </c>
      <c r="F24" s="31" t="s">
        <v>98</v>
      </c>
      <c r="G24" s="31" t="s">
        <v>71</v>
      </c>
      <c r="H24" s="31" t="s">
        <v>77</v>
      </c>
      <c r="I24" s="31"/>
    </row>
    <row r="25" customFormat="false" ht="15" hidden="false" customHeight="true" outlineLevel="0" collapsed="false">
      <c r="B25" s="32" t="n">
        <v>5000</v>
      </c>
      <c r="C25" s="33" t="s">
        <v>100</v>
      </c>
      <c r="D25" s="33" t="s">
        <v>97</v>
      </c>
      <c r="E25" s="33" t="s">
        <v>19</v>
      </c>
      <c r="F25" s="33" t="s">
        <v>101</v>
      </c>
      <c r="G25" s="33" t="s">
        <v>68</v>
      </c>
      <c r="H25" s="33" t="s">
        <v>77</v>
      </c>
      <c r="I25" s="33"/>
    </row>
    <row r="26" customFormat="false" ht="15" hidden="false" customHeight="true" outlineLevel="0" collapsed="false">
      <c r="B26" s="30" t="n">
        <v>5010</v>
      </c>
      <c r="C26" s="31" t="s">
        <v>20</v>
      </c>
      <c r="D26" s="31" t="s">
        <v>97</v>
      </c>
      <c r="E26" s="31" t="s">
        <v>19</v>
      </c>
      <c r="F26" s="31" t="s">
        <v>102</v>
      </c>
      <c r="G26" s="31" t="s">
        <v>68</v>
      </c>
      <c r="H26" s="31" t="s">
        <v>77</v>
      </c>
      <c r="I26" s="31"/>
    </row>
    <row r="27" customFormat="false" ht="15" hidden="false" customHeight="true" outlineLevel="0" collapsed="false">
      <c r="B27" s="32" t="n">
        <v>5020</v>
      </c>
      <c r="C27" s="33" t="s">
        <v>21</v>
      </c>
      <c r="D27" s="33" t="s">
        <v>97</v>
      </c>
      <c r="E27" s="33" t="s">
        <v>19</v>
      </c>
      <c r="F27" s="33" t="s">
        <v>102</v>
      </c>
      <c r="G27" s="33" t="s">
        <v>68</v>
      </c>
      <c r="H27" s="33" t="s">
        <v>77</v>
      </c>
      <c r="I27" s="33"/>
    </row>
    <row r="28" customFormat="false" ht="15" hidden="false" customHeight="true" outlineLevel="0" collapsed="false">
      <c r="B28" s="30" t="n">
        <v>5030</v>
      </c>
      <c r="C28" s="31" t="s">
        <v>103</v>
      </c>
      <c r="D28" s="31" t="s">
        <v>97</v>
      </c>
      <c r="E28" s="31" t="s">
        <v>19</v>
      </c>
      <c r="F28" s="31" t="s">
        <v>102</v>
      </c>
      <c r="G28" s="31" t="s">
        <v>68</v>
      </c>
      <c r="H28" s="31" t="s">
        <v>72</v>
      </c>
      <c r="I28" s="31"/>
    </row>
    <row r="29" customFormat="false" ht="15" hidden="false" customHeight="true" outlineLevel="0" collapsed="false">
      <c r="B29" s="32" t="n">
        <v>5040</v>
      </c>
      <c r="C29" s="33" t="s">
        <v>104</v>
      </c>
      <c r="D29" s="33" t="s">
        <v>97</v>
      </c>
      <c r="E29" s="33" t="s">
        <v>19</v>
      </c>
      <c r="F29" s="33" t="s">
        <v>102</v>
      </c>
      <c r="G29" s="33" t="s">
        <v>68</v>
      </c>
      <c r="H29" s="33" t="s">
        <v>77</v>
      </c>
      <c r="I29" s="33"/>
    </row>
    <row r="30" customFormat="false" ht="15" hidden="false" customHeight="true" outlineLevel="0" collapsed="false">
      <c r="B30" s="30" t="n">
        <v>5050</v>
      </c>
      <c r="C30" s="31" t="s">
        <v>105</v>
      </c>
      <c r="D30" s="31" t="s">
        <v>97</v>
      </c>
      <c r="E30" s="31" t="s">
        <v>19</v>
      </c>
      <c r="F30" s="31" t="s">
        <v>102</v>
      </c>
      <c r="G30" s="31" t="s">
        <v>68</v>
      </c>
      <c r="H30" s="31" t="s">
        <v>77</v>
      </c>
      <c r="I30" s="31"/>
    </row>
    <row r="31" customFormat="false" ht="15" hidden="false" customHeight="true" outlineLevel="0" collapsed="false">
      <c r="B31" s="32" t="n">
        <v>5060</v>
      </c>
      <c r="C31" s="33" t="s">
        <v>106</v>
      </c>
      <c r="D31" s="33" t="s">
        <v>97</v>
      </c>
      <c r="E31" s="33" t="s">
        <v>19</v>
      </c>
      <c r="F31" s="33" t="s">
        <v>107</v>
      </c>
      <c r="G31" s="33" t="s">
        <v>68</v>
      </c>
      <c r="H31" s="33" t="s">
        <v>85</v>
      </c>
      <c r="I31" s="33"/>
    </row>
    <row r="32" customFormat="false" ht="15" hidden="false" customHeight="true" outlineLevel="0" collapsed="false">
      <c r="B32" s="30" t="n">
        <v>5070</v>
      </c>
      <c r="C32" s="31" t="s">
        <v>108</v>
      </c>
      <c r="D32" s="31" t="s">
        <v>97</v>
      </c>
      <c r="E32" s="31" t="s">
        <v>19</v>
      </c>
      <c r="F32" s="31" t="s">
        <v>109</v>
      </c>
      <c r="G32" s="31" t="s">
        <v>68</v>
      </c>
      <c r="H32" s="31" t="s">
        <v>77</v>
      </c>
      <c r="I32" s="31"/>
    </row>
  </sheetData>
  <dataValidations count="4">
    <dataValidation allowBlank="true" errorStyle="stop" operator="between" showDropDown="false" showErrorMessage="false" showInputMessage="false" sqref="D6:D500" type="list">
      <formula1>"BS,PL"</formula1>
      <formula2>0</formula2>
    </dataValidation>
    <dataValidation allowBlank="true" errorStyle="stop" operator="between" showDropDown="false" showErrorMessage="false" showInputMessage="false" sqref="E6:E500" type="list">
      <formula1>"Asset,Liability,Equity,Revenue,Expense"</formula1>
      <formula2>0</formula2>
    </dataValidation>
    <dataValidation allowBlank="true" errorStyle="stop" operator="between" showDropDown="false" showErrorMessage="false" showInputMessage="false" sqref="G6:G500" type="list">
      <formula1>"Debit,Credit"</formula1>
      <formula2>0</formula2>
    </dataValidation>
    <dataValidation allowBlank="true" errorStyle="stop" operator="between" showDropDown="false" showErrorMessage="false" showInputMessage="false" sqref="H6:H500" type="list">
      <formula1>"Operating,Investing,Financing,Non-Cash,Cash"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32"/>
    <col collapsed="false" customWidth="true" hidden="false" outlineLevel="0" max="5" min="4" style="1" width="18"/>
    <col collapsed="false" customWidth="true" hidden="false" outlineLevel="0" max="6" min="6" style="1" width="30"/>
  </cols>
  <sheetData>
    <row r="2" customFormat="false" ht="17.25" hidden="false" customHeight="true" outlineLevel="0" collapsed="false">
      <c r="B2" s="27" t="s">
        <v>110</v>
      </c>
    </row>
    <row r="3" customFormat="false" ht="27.75" hidden="false" customHeight="true" outlineLevel="0" collapsed="false">
      <c r="B3" s="34" t="s">
        <v>111</v>
      </c>
      <c r="C3" s="34"/>
      <c r="D3" s="34"/>
      <c r="E3" s="34"/>
      <c r="F3" s="34"/>
    </row>
    <row r="5" customFormat="false" ht="23.25" hidden="false" customHeight="true" outlineLevel="0" collapsed="false">
      <c r="B5" s="29" t="s">
        <v>56</v>
      </c>
      <c r="C5" s="29" t="s">
        <v>57</v>
      </c>
      <c r="D5" s="29" t="s">
        <v>112</v>
      </c>
      <c r="E5" s="29" t="s">
        <v>113</v>
      </c>
      <c r="F5" s="29" t="s">
        <v>63</v>
      </c>
    </row>
    <row r="6" customFormat="false" ht="15" hidden="false" customHeight="true" outlineLevel="0" collapsed="false">
      <c r="B6" s="35" t="n">
        <f aca="false">'Chart of Accounts'!B6</f>
        <v>1000</v>
      </c>
      <c r="C6" s="36" t="str">
        <f aca="false">'Chart of Accounts'!C6</f>
        <v>Property, Plant &amp; Equipment</v>
      </c>
      <c r="D6" s="37" t="n">
        <v>800000000</v>
      </c>
      <c r="E6" s="37" t="n">
        <v>0</v>
      </c>
      <c r="F6" s="31"/>
    </row>
    <row r="7" customFormat="false" ht="15" hidden="false" customHeight="true" outlineLevel="0" collapsed="false">
      <c r="B7" s="38" t="n">
        <f aca="false">'Chart of Accounts'!B7</f>
        <v>1010</v>
      </c>
      <c r="C7" s="39" t="str">
        <f aca="false">'Chart of Accounts'!C7</f>
        <v>Accumulated Depreciation</v>
      </c>
      <c r="D7" s="40" t="n">
        <v>0</v>
      </c>
      <c r="E7" s="40" t="n">
        <v>0</v>
      </c>
      <c r="F7" s="33"/>
    </row>
    <row r="8" customFormat="false" ht="15" hidden="false" customHeight="true" outlineLevel="0" collapsed="false">
      <c r="B8" s="35" t="n">
        <f aca="false">'Chart of Accounts'!B8</f>
        <v>1020</v>
      </c>
      <c r="C8" s="36" t="str">
        <f aca="false">'Chart of Accounts'!C8</f>
        <v>Capital Work-in-Progress</v>
      </c>
      <c r="D8" s="37" t="n">
        <v>50000000</v>
      </c>
      <c r="E8" s="37" t="n">
        <v>0</v>
      </c>
      <c r="F8" s="31"/>
    </row>
    <row r="9" customFormat="false" ht="15" hidden="false" customHeight="true" outlineLevel="0" collapsed="false">
      <c r="B9" s="38" t="n">
        <f aca="false">'Chart of Accounts'!B9</f>
        <v>1030</v>
      </c>
      <c r="C9" s="39" t="str">
        <f aca="false">'Chart of Accounts'!C9</f>
        <v>Long-Term Investments</v>
      </c>
      <c r="D9" s="40" t="n">
        <v>20000000</v>
      </c>
      <c r="E9" s="40" t="n">
        <v>0</v>
      </c>
      <c r="F9" s="33"/>
    </row>
    <row r="10" customFormat="false" ht="15" hidden="false" customHeight="true" outlineLevel="0" collapsed="false">
      <c r="B10" s="35" t="n">
        <f aca="false">'Chart of Accounts'!B10</f>
        <v>1100</v>
      </c>
      <c r="C10" s="36" t="str">
        <f aca="false">'Chart of Accounts'!C10</f>
        <v>Inventories</v>
      </c>
      <c r="D10" s="37" t="n">
        <v>120000000</v>
      </c>
      <c r="E10" s="37" t="n">
        <v>0</v>
      </c>
      <c r="F10" s="31"/>
    </row>
    <row r="11" customFormat="false" ht="15" hidden="false" customHeight="true" outlineLevel="0" collapsed="false">
      <c r="B11" s="38" t="n">
        <f aca="false">'Chart of Accounts'!B11</f>
        <v>1110</v>
      </c>
      <c r="C11" s="39" t="str">
        <f aca="false">'Chart of Accounts'!C11</f>
        <v>Accounts Receivable</v>
      </c>
      <c r="D11" s="40" t="n">
        <v>180000000</v>
      </c>
      <c r="E11" s="40" t="n">
        <v>0</v>
      </c>
      <c r="F11" s="33"/>
    </row>
    <row r="12" customFormat="false" ht="15" hidden="false" customHeight="true" outlineLevel="0" collapsed="false">
      <c r="B12" s="35" t="n">
        <f aca="false">'Chart of Accounts'!B12</f>
        <v>1120</v>
      </c>
      <c r="C12" s="36" t="str">
        <f aca="false">'Chart of Accounts'!C12</f>
        <v>Advances, Deposits &amp; Prepayments</v>
      </c>
      <c r="D12" s="37" t="n">
        <v>40000000</v>
      </c>
      <c r="E12" s="37" t="n">
        <v>0</v>
      </c>
      <c r="F12" s="31"/>
    </row>
    <row r="13" customFormat="false" ht="15" hidden="false" customHeight="true" outlineLevel="0" collapsed="false">
      <c r="B13" s="38" t="n">
        <f aca="false">'Chart of Accounts'!B13</f>
        <v>1130</v>
      </c>
      <c r="C13" s="39" t="str">
        <f aca="false">'Chart of Accounts'!C13</f>
        <v>Cash &amp; Cash Equivalents</v>
      </c>
      <c r="D13" s="40" t="n">
        <v>60000000</v>
      </c>
      <c r="E13" s="40" t="n">
        <v>0</v>
      </c>
      <c r="F13" s="33"/>
    </row>
    <row r="14" customFormat="false" ht="15" hidden="false" customHeight="true" outlineLevel="0" collapsed="false">
      <c r="B14" s="35" t="n">
        <f aca="false">'Chart of Accounts'!B14</f>
        <v>2000</v>
      </c>
      <c r="C14" s="36" t="str">
        <f aca="false">'Chart of Accounts'!C14</f>
        <v>Long-Term Loan</v>
      </c>
      <c r="D14" s="37" t="n">
        <v>0</v>
      </c>
      <c r="E14" s="37" t="n">
        <v>300000000</v>
      </c>
      <c r="F14" s="31"/>
    </row>
    <row r="15" customFormat="false" ht="15" hidden="false" customHeight="true" outlineLevel="0" collapsed="false">
      <c r="B15" s="38" t="n">
        <f aca="false">'Chart of Accounts'!B15</f>
        <v>2010</v>
      </c>
      <c r="C15" s="39" t="str">
        <f aca="false">'Chart of Accounts'!C15</f>
        <v>Deferred Tax Liability</v>
      </c>
      <c r="D15" s="40" t="n">
        <v>0</v>
      </c>
      <c r="E15" s="40" t="n">
        <v>10000000</v>
      </c>
      <c r="F15" s="33"/>
    </row>
    <row r="16" customFormat="false" ht="15" hidden="false" customHeight="true" outlineLevel="0" collapsed="false">
      <c r="B16" s="35" t="n">
        <f aca="false">'Chart of Accounts'!B16</f>
        <v>2100</v>
      </c>
      <c r="C16" s="36" t="str">
        <f aca="false">'Chart of Accounts'!C16</f>
        <v>Accounts Payable</v>
      </c>
      <c r="D16" s="37" t="n">
        <v>0</v>
      </c>
      <c r="E16" s="37" t="n">
        <v>150000000</v>
      </c>
      <c r="F16" s="31"/>
    </row>
    <row r="17" customFormat="false" ht="15" hidden="false" customHeight="true" outlineLevel="0" collapsed="false">
      <c r="B17" s="38" t="n">
        <f aca="false">'Chart of Accounts'!B17</f>
        <v>2110</v>
      </c>
      <c r="C17" s="39" t="str">
        <f aca="false">'Chart of Accounts'!C17</f>
        <v>Accrued Expenses</v>
      </c>
      <c r="D17" s="40" t="n">
        <v>0</v>
      </c>
      <c r="E17" s="40" t="n">
        <v>30000000</v>
      </c>
      <c r="F17" s="33"/>
    </row>
    <row r="18" customFormat="false" ht="15" hidden="false" customHeight="true" outlineLevel="0" collapsed="false">
      <c r="B18" s="35" t="n">
        <f aca="false">'Chart of Accounts'!B18</f>
        <v>2120</v>
      </c>
      <c r="C18" s="36" t="str">
        <f aca="false">'Chart of Accounts'!C18</f>
        <v>Short-Term Loan</v>
      </c>
      <c r="D18" s="37" t="n">
        <v>0</v>
      </c>
      <c r="E18" s="37" t="n">
        <v>40000000</v>
      </c>
      <c r="F18" s="31"/>
    </row>
    <row r="19" customFormat="false" ht="15" hidden="false" customHeight="true" outlineLevel="0" collapsed="false">
      <c r="B19" s="38" t="n">
        <f aca="false">'Chart of Accounts'!B19</f>
        <v>2130</v>
      </c>
      <c r="C19" s="39" t="str">
        <f aca="false">'Chart of Accounts'!C19</f>
        <v>Tax Payable</v>
      </c>
      <c r="D19" s="40" t="n">
        <v>0</v>
      </c>
      <c r="E19" s="40" t="n">
        <v>15000000</v>
      </c>
      <c r="F19" s="33"/>
    </row>
    <row r="20" customFormat="false" ht="15" hidden="false" customHeight="true" outlineLevel="0" collapsed="false">
      <c r="B20" s="35" t="n">
        <f aca="false">'Chart of Accounts'!B20</f>
        <v>3000</v>
      </c>
      <c r="C20" s="36" t="str">
        <f aca="false">'Chart of Accounts'!C20</f>
        <v>Share Capital</v>
      </c>
      <c r="D20" s="37" t="n">
        <v>0</v>
      </c>
      <c r="E20" s="37" t="n">
        <v>400000000</v>
      </c>
      <c r="F20" s="31"/>
    </row>
    <row r="21" customFormat="false" ht="15" hidden="false" customHeight="true" outlineLevel="0" collapsed="false">
      <c r="B21" s="38" t="n">
        <f aca="false">'Chart of Accounts'!B21</f>
        <v>3010</v>
      </c>
      <c r="C21" s="39" t="str">
        <f aca="false">'Chart of Accounts'!C21</f>
        <v>Retained Earnings</v>
      </c>
      <c r="D21" s="40" t="n">
        <v>0</v>
      </c>
      <c r="E21" s="40" t="n">
        <v>275000000</v>
      </c>
      <c r="F21" s="33"/>
    </row>
    <row r="22" customFormat="false" ht="15" hidden="false" customHeight="true" outlineLevel="0" collapsed="false">
      <c r="B22" s="35" t="n">
        <f aca="false">'Chart of Accounts'!B22</f>
        <v>3020</v>
      </c>
      <c r="C22" s="36" t="str">
        <f aca="false">'Chart of Accounts'!C22</f>
        <v>Revaluation Reserve</v>
      </c>
      <c r="D22" s="37" t="n">
        <v>0</v>
      </c>
      <c r="E22" s="37" t="n">
        <v>50000000</v>
      </c>
      <c r="F22" s="31"/>
    </row>
    <row r="24" customFormat="false" ht="15" hidden="false" customHeight="true" outlineLevel="0" collapsed="false">
      <c r="B24" s="41" t="s">
        <v>114</v>
      </c>
      <c r="C24" s="41"/>
      <c r="D24" s="41"/>
      <c r="E24" s="42" t="str">
        <f aca="false">IF(ROUND(SUM(D6:D22)-SUM(E6:E22),2)=0,"TRUE","CHECK!")</f>
        <v>TRUE</v>
      </c>
    </row>
  </sheetData>
  <mergeCells count="2">
    <mergeCell ref="B3:F3"/>
    <mergeCell ref="B24:D24"/>
  </mergeCells>
  <conditionalFormatting sqref="D24">
    <cfRule type="expression" priority="2" aboveAverage="0" equalAverage="0" bottom="0" percent="0" rank="0" text="" dxfId="0">
      <formula>D24="TRUE"</formula>
    </cfRule>
    <cfRule type="expression" priority="3" aboveAverage="0" equalAverage="0" bottom="0" percent="0" rank="0" text="" dxfId="1">
      <formula>D24&lt;&gt;"TRUE"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B2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7" min="6" style="1" width="16"/>
    <col collapsed="false" customWidth="true" hidden="false" outlineLevel="0" max="8" min="8" style="1" width="34"/>
    <col collapsed="false" customWidth="true" hidden="false" outlineLevel="0" max="9" min="9" style="1" width="10"/>
  </cols>
  <sheetData>
    <row r="2" customFormat="false" ht="17.25" hidden="false" customHeight="true" outlineLevel="0" collapsed="false">
      <c r="B2" s="27" t="s">
        <v>115</v>
      </c>
    </row>
    <row r="3" customFormat="false" ht="27.75" hidden="false" customHeight="true" outlineLevel="0" collapsed="false">
      <c r="B3" s="34" t="s">
        <v>116</v>
      </c>
      <c r="C3" s="34"/>
      <c r="D3" s="34"/>
      <c r="E3" s="34"/>
      <c r="F3" s="34"/>
      <c r="G3" s="34"/>
      <c r="H3" s="34"/>
    </row>
    <row r="5" customFormat="false" ht="23.25" hidden="false" customHeight="true" outlineLevel="0" collapsed="false">
      <c r="B5" s="29" t="s">
        <v>117</v>
      </c>
      <c r="C5" s="29" t="s">
        <v>118</v>
      </c>
      <c r="D5" s="29" t="s">
        <v>56</v>
      </c>
      <c r="E5" s="29" t="s">
        <v>57</v>
      </c>
      <c r="F5" s="29" t="s">
        <v>119</v>
      </c>
      <c r="G5" s="29" t="s">
        <v>68</v>
      </c>
      <c r="H5" s="29" t="s">
        <v>71</v>
      </c>
      <c r="I5" s="29" t="s">
        <v>120</v>
      </c>
    </row>
    <row r="6" customFormat="false" ht="15" hidden="false" customHeight="true" outlineLevel="0" collapsed="false">
      <c r="B6" s="43" t="n">
        <v>45848</v>
      </c>
      <c r="C6" s="31" t="s">
        <v>121</v>
      </c>
      <c r="D6" s="30" t="n">
        <v>1110</v>
      </c>
      <c r="E6" s="36" t="str">
        <f aca="false">IFERROR(VLOOKUP(D6,'Chart of Accounts'!$C$6:$D$32,2,FALSE()),"")</f>
        <v/>
      </c>
      <c r="F6" s="31" t="s">
        <v>122</v>
      </c>
      <c r="G6" s="37" t="n">
        <v>500000000</v>
      </c>
      <c r="H6" s="37"/>
      <c r="I6" s="36" t="str">
        <f aca="false">IF(F6&gt;0,"Dr",IF(G6&gt;0,"Cr",""))</f>
        <v>Dr</v>
      </c>
    </row>
    <row r="7" customFormat="false" ht="15" hidden="false" customHeight="true" outlineLevel="0" collapsed="false">
      <c r="B7" s="43" t="n">
        <v>45848</v>
      </c>
      <c r="C7" s="31" t="s">
        <v>121</v>
      </c>
      <c r="D7" s="30" t="n">
        <v>4000</v>
      </c>
      <c r="E7" s="36" t="str">
        <f aca="false">IFERROR(VLOOKUP(D7,'Chart of Accounts'!$C$6:$D$32,2,FALSE()),"")</f>
        <v/>
      </c>
      <c r="F7" s="31" t="s">
        <v>122</v>
      </c>
      <c r="G7" s="37"/>
      <c r="H7" s="37" t="n">
        <v>500000000</v>
      </c>
      <c r="I7" s="36" t="str">
        <f aca="false">IF(F7&gt;0,"Dr",IF(G7&gt;0,"Cr",""))</f>
        <v>Dr</v>
      </c>
    </row>
    <row r="8" customFormat="false" ht="15" hidden="false" customHeight="true" outlineLevel="0" collapsed="false">
      <c r="B8" s="44" t="n">
        <v>45853</v>
      </c>
      <c r="C8" s="33" t="s">
        <v>123</v>
      </c>
      <c r="D8" s="32" t="n">
        <v>1130</v>
      </c>
      <c r="E8" s="39" t="str">
        <f aca="false">IFERROR(VLOOKUP(D8,'Chart of Accounts'!$C$6:$D$32,2,FALSE()),"")</f>
        <v/>
      </c>
      <c r="F8" s="33" t="s">
        <v>124</v>
      </c>
      <c r="G8" s="40" t="n">
        <v>150000000</v>
      </c>
      <c r="H8" s="40"/>
      <c r="I8" s="39" t="str">
        <f aca="false">IF(F8&gt;0,"Dr",IF(G8&gt;0,"Cr",""))</f>
        <v>Dr</v>
      </c>
    </row>
    <row r="9" customFormat="false" ht="15" hidden="false" customHeight="true" outlineLevel="0" collapsed="false">
      <c r="B9" s="44" t="n">
        <v>45853</v>
      </c>
      <c r="C9" s="33" t="s">
        <v>123</v>
      </c>
      <c r="D9" s="32" t="n">
        <v>4000</v>
      </c>
      <c r="E9" s="39" t="str">
        <f aca="false">IFERROR(VLOOKUP(D9,'Chart of Accounts'!$C$6:$D$32,2,FALSE()),"")</f>
        <v/>
      </c>
      <c r="F9" s="33" t="s">
        <v>124</v>
      </c>
      <c r="G9" s="40"/>
      <c r="H9" s="40" t="n">
        <v>150000000</v>
      </c>
      <c r="I9" s="39" t="str">
        <f aca="false">IF(F9&gt;0,"Dr",IF(G9&gt;0,"Cr",""))</f>
        <v>Dr</v>
      </c>
    </row>
    <row r="10" customFormat="false" ht="15" hidden="false" customHeight="true" outlineLevel="0" collapsed="false">
      <c r="B10" s="43" t="n">
        <v>45869</v>
      </c>
      <c r="C10" s="31" t="s">
        <v>125</v>
      </c>
      <c r="D10" s="30" t="n">
        <v>5000</v>
      </c>
      <c r="E10" s="36" t="str">
        <f aca="false">IFERROR(VLOOKUP(D10,'Chart of Accounts'!$C$6:$D$32,2,FALSE()),"")</f>
        <v/>
      </c>
      <c r="F10" s="31" t="s">
        <v>126</v>
      </c>
      <c r="G10" s="37" t="n">
        <v>380000000</v>
      </c>
      <c r="H10" s="37"/>
      <c r="I10" s="36" t="str">
        <f aca="false">IF(F10&gt;0,"Dr",IF(G10&gt;0,"Cr",""))</f>
        <v>Dr</v>
      </c>
    </row>
    <row r="11" customFormat="false" ht="15" hidden="false" customHeight="true" outlineLevel="0" collapsed="false">
      <c r="B11" s="43" t="n">
        <v>45869</v>
      </c>
      <c r="C11" s="31" t="s">
        <v>125</v>
      </c>
      <c r="D11" s="30" t="n">
        <v>1100</v>
      </c>
      <c r="E11" s="36" t="str">
        <f aca="false">IFERROR(VLOOKUP(D11,'Chart of Accounts'!$C$6:$D$32,2,FALSE()),"")</f>
        <v/>
      </c>
      <c r="F11" s="31" t="s">
        <v>126</v>
      </c>
      <c r="G11" s="37"/>
      <c r="H11" s="37" t="n">
        <v>380000000</v>
      </c>
      <c r="I11" s="36" t="str">
        <f aca="false">IF(F11&gt;0,"Dr",IF(G11&gt;0,"Cr",""))</f>
        <v>Dr</v>
      </c>
    </row>
    <row r="12" customFormat="false" ht="15" hidden="false" customHeight="true" outlineLevel="0" collapsed="false">
      <c r="B12" s="44" t="n">
        <v>45874</v>
      </c>
      <c r="C12" s="33" t="s">
        <v>127</v>
      </c>
      <c r="D12" s="32" t="n">
        <v>1100</v>
      </c>
      <c r="E12" s="39" t="str">
        <f aca="false">IFERROR(VLOOKUP(D12,'Chart of Accounts'!$C$6:$D$32,2,FALSE()),"")</f>
        <v/>
      </c>
      <c r="F12" s="33" t="s">
        <v>128</v>
      </c>
      <c r="G12" s="40" t="n">
        <v>300000000</v>
      </c>
      <c r="H12" s="40"/>
      <c r="I12" s="39" t="str">
        <f aca="false">IF(F12&gt;0,"Dr",IF(G12&gt;0,"Cr",""))</f>
        <v>Dr</v>
      </c>
    </row>
    <row r="13" customFormat="false" ht="15" hidden="false" customHeight="true" outlineLevel="0" collapsed="false">
      <c r="B13" s="44" t="n">
        <v>45874</v>
      </c>
      <c r="C13" s="33" t="s">
        <v>127</v>
      </c>
      <c r="D13" s="32" t="n">
        <v>2100</v>
      </c>
      <c r="E13" s="39" t="str">
        <f aca="false">IFERROR(VLOOKUP(D13,'Chart of Accounts'!$C$6:$D$32,2,FALSE()),"")</f>
        <v/>
      </c>
      <c r="F13" s="33" t="s">
        <v>128</v>
      </c>
      <c r="G13" s="40"/>
      <c r="H13" s="40" t="n">
        <v>300000000</v>
      </c>
      <c r="I13" s="39" t="str">
        <f aca="false">IF(F13&gt;0,"Dr",IF(G13&gt;0,"Cr",""))</f>
        <v>Dr</v>
      </c>
    </row>
    <row r="14" customFormat="false" ht="15" hidden="false" customHeight="true" outlineLevel="0" collapsed="false">
      <c r="B14" s="43" t="n">
        <v>45889</v>
      </c>
      <c r="C14" s="31" t="s">
        <v>129</v>
      </c>
      <c r="D14" s="30" t="n">
        <v>1130</v>
      </c>
      <c r="E14" s="36" t="str">
        <f aca="false">IFERROR(VLOOKUP(D14,'Chart of Accounts'!$C$6:$D$32,2,FALSE()),"")</f>
        <v/>
      </c>
      <c r="F14" s="31" t="s">
        <v>130</v>
      </c>
      <c r="G14" s="37" t="n">
        <v>450000000</v>
      </c>
      <c r="H14" s="37"/>
      <c r="I14" s="36" t="str">
        <f aca="false">IF(F14&gt;0,"Dr",IF(G14&gt;0,"Cr",""))</f>
        <v>Dr</v>
      </c>
    </row>
    <row r="15" customFormat="false" ht="15" hidden="false" customHeight="true" outlineLevel="0" collapsed="false">
      <c r="B15" s="43" t="n">
        <v>45889</v>
      </c>
      <c r="C15" s="31" t="s">
        <v>129</v>
      </c>
      <c r="D15" s="30" t="n">
        <v>1110</v>
      </c>
      <c r="E15" s="36" t="str">
        <f aca="false">IFERROR(VLOOKUP(D15,'Chart of Accounts'!$C$6:$D$32,2,FALSE()),"")</f>
        <v/>
      </c>
      <c r="F15" s="31" t="s">
        <v>130</v>
      </c>
      <c r="G15" s="37"/>
      <c r="H15" s="37" t="n">
        <v>450000000</v>
      </c>
      <c r="I15" s="36" t="str">
        <f aca="false">IF(F15&gt;0,"Dr",IF(G15&gt;0,"Cr",""))</f>
        <v>Dr</v>
      </c>
    </row>
    <row r="16" customFormat="false" ht="15" hidden="false" customHeight="true" outlineLevel="0" collapsed="false">
      <c r="B16" s="44" t="n">
        <v>45901</v>
      </c>
      <c r="C16" s="33" t="s">
        <v>131</v>
      </c>
      <c r="D16" s="32" t="n">
        <v>2100</v>
      </c>
      <c r="E16" s="39" t="str">
        <f aca="false">IFERROR(VLOOKUP(D16,'Chart of Accounts'!$C$6:$D$32,2,FALSE()),"")</f>
        <v/>
      </c>
      <c r="F16" s="33" t="s">
        <v>132</v>
      </c>
      <c r="G16" s="40" t="n">
        <v>250000000</v>
      </c>
      <c r="H16" s="40"/>
      <c r="I16" s="39" t="str">
        <f aca="false">IF(F16&gt;0,"Dr",IF(G16&gt;0,"Cr",""))</f>
        <v>Dr</v>
      </c>
    </row>
    <row r="17" customFormat="false" ht="15" hidden="false" customHeight="true" outlineLevel="0" collapsed="false">
      <c r="B17" s="44" t="n">
        <v>45901</v>
      </c>
      <c r="C17" s="33" t="s">
        <v>131</v>
      </c>
      <c r="D17" s="32" t="n">
        <v>1130</v>
      </c>
      <c r="E17" s="39" t="str">
        <f aca="false">IFERROR(VLOOKUP(D17,'Chart of Accounts'!$C$6:$D$32,2,FALSE()),"")</f>
        <v/>
      </c>
      <c r="F17" s="33" t="s">
        <v>132</v>
      </c>
      <c r="G17" s="40"/>
      <c r="H17" s="40" t="n">
        <v>250000000</v>
      </c>
      <c r="I17" s="39" t="str">
        <f aca="false">IF(F17&gt;0,"Dr",IF(G17&gt;0,"Cr",""))</f>
        <v>Dr</v>
      </c>
    </row>
    <row r="18" customFormat="false" ht="15" hidden="false" customHeight="true" outlineLevel="0" collapsed="false">
      <c r="B18" s="43" t="n">
        <v>45930</v>
      </c>
      <c r="C18" s="31" t="s">
        <v>133</v>
      </c>
      <c r="D18" s="30" t="n">
        <v>5010</v>
      </c>
      <c r="E18" s="36" t="str">
        <f aca="false">IFERROR(VLOOKUP(D18,'Chart of Accounts'!$C$6:$D$32,2,FALSE()),"")</f>
        <v/>
      </c>
      <c r="F18" s="31" t="s">
        <v>134</v>
      </c>
      <c r="G18" s="37" t="n">
        <v>90000000</v>
      </c>
      <c r="H18" s="37"/>
      <c r="I18" s="36" t="str">
        <f aca="false">IF(F18&gt;0,"Dr",IF(G18&gt;0,"Cr",""))</f>
        <v>Dr</v>
      </c>
    </row>
    <row r="19" customFormat="false" ht="15" hidden="false" customHeight="true" outlineLevel="0" collapsed="false">
      <c r="B19" s="43" t="n">
        <v>45930</v>
      </c>
      <c r="C19" s="31" t="s">
        <v>133</v>
      </c>
      <c r="D19" s="30" t="n">
        <v>1130</v>
      </c>
      <c r="E19" s="36" t="str">
        <f aca="false">IFERROR(VLOOKUP(D19,'Chart of Accounts'!$C$6:$D$32,2,FALSE()),"")</f>
        <v/>
      </c>
      <c r="F19" s="31" t="s">
        <v>134</v>
      </c>
      <c r="G19" s="37"/>
      <c r="H19" s="37" t="n">
        <v>90000000</v>
      </c>
      <c r="I19" s="36" t="str">
        <f aca="false">IF(F19&gt;0,"Dr",IF(G19&gt;0,"Cr",""))</f>
        <v>Dr</v>
      </c>
    </row>
    <row r="20" customFormat="false" ht="15" hidden="false" customHeight="true" outlineLevel="0" collapsed="false">
      <c r="B20" s="44" t="n">
        <v>45930</v>
      </c>
      <c r="C20" s="33" t="s">
        <v>135</v>
      </c>
      <c r="D20" s="32" t="n">
        <v>5020</v>
      </c>
      <c r="E20" s="39" t="str">
        <f aca="false">IFERROR(VLOOKUP(D20,'Chart of Accounts'!$C$6:$D$32,2,FALSE()),"")</f>
        <v/>
      </c>
      <c r="F20" s="33" t="s">
        <v>136</v>
      </c>
      <c r="G20" s="40" t="n">
        <v>12000000</v>
      </c>
      <c r="H20" s="40"/>
      <c r="I20" s="39" t="str">
        <f aca="false">IF(F20&gt;0,"Dr",IF(G20&gt;0,"Cr",""))</f>
        <v>Dr</v>
      </c>
    </row>
    <row r="21" customFormat="false" ht="15" hidden="false" customHeight="true" outlineLevel="0" collapsed="false">
      <c r="B21" s="44" t="n">
        <v>45930</v>
      </c>
      <c r="C21" s="33" t="s">
        <v>135</v>
      </c>
      <c r="D21" s="32" t="n">
        <v>1130</v>
      </c>
      <c r="E21" s="39" t="str">
        <f aca="false">IFERROR(VLOOKUP(D21,'Chart of Accounts'!$C$6:$D$32,2,FALSE()),"")</f>
        <v/>
      </c>
      <c r="F21" s="33" t="s">
        <v>136</v>
      </c>
      <c r="G21" s="40"/>
      <c r="H21" s="40" t="n">
        <v>12000000</v>
      </c>
      <c r="I21" s="39" t="str">
        <f aca="false">IF(F21&gt;0,"Dr",IF(G21&gt;0,"Cr",""))</f>
        <v>Dr</v>
      </c>
    </row>
    <row r="22" customFormat="false" ht="15" hidden="false" customHeight="true" outlineLevel="0" collapsed="false">
      <c r="B22" s="43" t="n">
        <v>45935</v>
      </c>
      <c r="C22" s="31" t="s">
        <v>137</v>
      </c>
      <c r="D22" s="30" t="n">
        <v>5040</v>
      </c>
      <c r="E22" s="36" t="str">
        <f aca="false">IFERROR(VLOOKUP(D22,'Chart of Accounts'!$C$6:$D$32,2,FALSE()),"")</f>
        <v/>
      </c>
      <c r="F22" s="31" t="s">
        <v>138</v>
      </c>
      <c r="G22" s="37" t="n">
        <v>6000000</v>
      </c>
      <c r="H22" s="37"/>
      <c r="I22" s="36" t="str">
        <f aca="false">IF(F22&gt;0,"Dr",IF(G22&gt;0,"Cr",""))</f>
        <v>Dr</v>
      </c>
    </row>
    <row r="23" customFormat="false" ht="15" hidden="false" customHeight="true" outlineLevel="0" collapsed="false">
      <c r="B23" s="43" t="n">
        <v>45935</v>
      </c>
      <c r="C23" s="31" t="s">
        <v>137</v>
      </c>
      <c r="D23" s="30" t="n">
        <v>1130</v>
      </c>
      <c r="E23" s="36" t="str">
        <f aca="false">IFERROR(VLOOKUP(D23,'Chart of Accounts'!$C$6:$D$32,2,FALSE()),"")</f>
        <v/>
      </c>
      <c r="F23" s="31" t="s">
        <v>138</v>
      </c>
      <c r="G23" s="37"/>
      <c r="H23" s="37" t="n">
        <v>6000000</v>
      </c>
      <c r="I23" s="36" t="str">
        <f aca="false">IF(F23&gt;0,"Dr",IF(G23&gt;0,"Cr",""))</f>
        <v>Dr</v>
      </c>
    </row>
    <row r="24" customFormat="false" ht="15" hidden="false" customHeight="true" outlineLevel="0" collapsed="false">
      <c r="B24" s="44" t="n">
        <v>45940</v>
      </c>
      <c r="C24" s="33" t="s">
        <v>139</v>
      </c>
      <c r="D24" s="32" t="n">
        <v>5050</v>
      </c>
      <c r="E24" s="39" t="str">
        <f aca="false">IFERROR(VLOOKUP(D24,'Chart of Accounts'!$C$6:$D$32,2,FALSE()),"")</f>
        <v/>
      </c>
      <c r="F24" s="33" t="s">
        <v>140</v>
      </c>
      <c r="G24" s="40" t="n">
        <v>18000000</v>
      </c>
      <c r="H24" s="40"/>
      <c r="I24" s="39" t="str">
        <f aca="false">IF(F24&gt;0,"Dr",IF(G24&gt;0,"Cr",""))</f>
        <v>Dr</v>
      </c>
    </row>
    <row r="25" customFormat="false" ht="15" hidden="false" customHeight="true" outlineLevel="0" collapsed="false">
      <c r="B25" s="44" t="n">
        <v>45940</v>
      </c>
      <c r="C25" s="33" t="s">
        <v>139</v>
      </c>
      <c r="D25" s="32" t="n">
        <v>1130</v>
      </c>
      <c r="E25" s="39" t="str">
        <f aca="false">IFERROR(VLOOKUP(D25,'Chart of Accounts'!$C$6:$D$32,2,FALSE()),"")</f>
        <v/>
      </c>
      <c r="F25" s="33" t="s">
        <v>140</v>
      </c>
      <c r="G25" s="40"/>
      <c r="H25" s="40" t="n">
        <v>18000000</v>
      </c>
      <c r="I25" s="39" t="str">
        <f aca="false">IF(F25&gt;0,"Dr",IF(G25&gt;0,"Cr",""))</f>
        <v>Dr</v>
      </c>
    </row>
    <row r="26" customFormat="false" ht="15" hidden="false" customHeight="true" outlineLevel="0" collapsed="false">
      <c r="B26" s="43" t="n">
        <v>45961</v>
      </c>
      <c r="C26" s="31" t="s">
        <v>141</v>
      </c>
      <c r="D26" s="30" t="n">
        <v>1000</v>
      </c>
      <c r="E26" s="36" t="str">
        <f aca="false">IFERROR(VLOOKUP(D26,'Chart of Accounts'!$C$6:$D$32,2,FALSE()),"")</f>
        <v/>
      </c>
      <c r="F26" s="31" t="s">
        <v>142</v>
      </c>
      <c r="G26" s="37" t="n">
        <v>85000000</v>
      </c>
      <c r="H26" s="37"/>
      <c r="I26" s="36" t="str">
        <f aca="false">IF(F26&gt;0,"Dr",IF(G26&gt;0,"Cr",""))</f>
        <v>Dr</v>
      </c>
    </row>
    <row r="27" customFormat="false" ht="15" hidden="false" customHeight="true" outlineLevel="0" collapsed="false">
      <c r="B27" s="43" t="n">
        <v>45961</v>
      </c>
      <c r="C27" s="31" t="s">
        <v>141</v>
      </c>
      <c r="D27" s="30" t="n">
        <v>1130</v>
      </c>
      <c r="E27" s="36" t="str">
        <f aca="false">IFERROR(VLOOKUP(D27,'Chart of Accounts'!$C$6:$D$32,2,FALSE()),"")</f>
        <v/>
      </c>
      <c r="F27" s="31" t="s">
        <v>142</v>
      </c>
      <c r="G27" s="37"/>
      <c r="H27" s="37" t="n">
        <v>85000000</v>
      </c>
      <c r="I27" s="36" t="str">
        <f aca="false">IF(F27&gt;0,"Dr",IF(G27&gt;0,"Cr",""))</f>
        <v>Dr</v>
      </c>
    </row>
    <row r="28" customFormat="false" ht="15" hidden="false" customHeight="true" outlineLevel="0" collapsed="false">
      <c r="B28" s="44" t="n">
        <v>45966</v>
      </c>
      <c r="C28" s="33" t="s">
        <v>143</v>
      </c>
      <c r="D28" s="32" t="n">
        <v>1020</v>
      </c>
      <c r="E28" s="39" t="str">
        <f aca="false">IFERROR(VLOOKUP(D28,'Chart of Accounts'!$C$6:$D$32,2,FALSE()),"")</f>
        <v/>
      </c>
      <c r="F28" s="33" t="s">
        <v>144</v>
      </c>
      <c r="G28" s="40" t="n">
        <v>40000000</v>
      </c>
      <c r="H28" s="40"/>
      <c r="I28" s="39" t="str">
        <f aca="false">IF(F28&gt;0,"Dr",IF(G28&gt;0,"Cr",""))</f>
        <v>Dr</v>
      </c>
    </row>
    <row r="29" customFormat="false" ht="15" hidden="false" customHeight="true" outlineLevel="0" collapsed="false">
      <c r="B29" s="44" t="n">
        <v>45966</v>
      </c>
      <c r="C29" s="33" t="s">
        <v>143</v>
      </c>
      <c r="D29" s="32" t="n">
        <v>1130</v>
      </c>
      <c r="E29" s="39" t="str">
        <f aca="false">IFERROR(VLOOKUP(D29,'Chart of Accounts'!$C$6:$D$32,2,FALSE()),"")</f>
        <v/>
      </c>
      <c r="F29" s="33" t="s">
        <v>144</v>
      </c>
      <c r="G29" s="40"/>
      <c r="H29" s="40" t="n">
        <v>40000000</v>
      </c>
      <c r="I29" s="39" t="str">
        <f aca="false">IF(F29&gt;0,"Dr",IF(G29&gt;0,"Cr",""))</f>
        <v>Dr</v>
      </c>
    </row>
    <row r="30" customFormat="false" ht="15" hidden="false" customHeight="true" outlineLevel="0" collapsed="false">
      <c r="B30" s="43" t="n">
        <v>45981</v>
      </c>
      <c r="C30" s="31" t="s">
        <v>145</v>
      </c>
      <c r="D30" s="30" t="n">
        <v>1130</v>
      </c>
      <c r="E30" s="36" t="str">
        <f aca="false">IFERROR(VLOOKUP(D30,'Chart of Accounts'!$C$6:$D$32,2,FALSE()),"")</f>
        <v/>
      </c>
      <c r="F30" s="31" t="s">
        <v>146</v>
      </c>
      <c r="G30" s="37" t="n">
        <v>8000000</v>
      </c>
      <c r="H30" s="37"/>
      <c r="I30" s="36" t="str">
        <f aca="false">IF(F30&gt;0,"Dr",IF(G30&gt;0,"Cr",""))</f>
        <v>Dr</v>
      </c>
    </row>
    <row r="31" customFormat="false" ht="15" hidden="false" customHeight="true" outlineLevel="0" collapsed="false">
      <c r="B31" s="43" t="n">
        <v>45981</v>
      </c>
      <c r="C31" s="31" t="s">
        <v>145</v>
      </c>
      <c r="D31" s="30" t="n">
        <v>4010</v>
      </c>
      <c r="E31" s="36" t="str">
        <f aca="false">IFERROR(VLOOKUP(D31,'Chart of Accounts'!$C$6:$D$32,2,FALSE()),"")</f>
        <v/>
      </c>
      <c r="F31" s="31" t="s">
        <v>146</v>
      </c>
      <c r="G31" s="37"/>
      <c r="H31" s="37" t="n">
        <v>8000000</v>
      </c>
      <c r="I31" s="36" t="str">
        <f aca="false">IF(F31&gt;0,"Dr",IF(G31&gt;0,"Cr",""))</f>
        <v>Dr</v>
      </c>
    </row>
    <row r="32" customFormat="false" ht="15" hidden="false" customHeight="true" outlineLevel="0" collapsed="false">
      <c r="B32" s="44" t="n">
        <v>45992</v>
      </c>
      <c r="C32" s="33" t="s">
        <v>147</v>
      </c>
      <c r="D32" s="32" t="n">
        <v>5060</v>
      </c>
      <c r="E32" s="39" t="str">
        <f aca="false">IFERROR(VLOOKUP(D32,'Chart of Accounts'!$C$6:$D$32,2,FALSE()),"")</f>
        <v/>
      </c>
      <c r="F32" s="33" t="s">
        <v>148</v>
      </c>
      <c r="G32" s="40" t="n">
        <v>25000000</v>
      </c>
      <c r="H32" s="40"/>
      <c r="I32" s="39" t="str">
        <f aca="false">IF(F32&gt;0,"Dr",IF(G32&gt;0,"Cr",""))</f>
        <v>Dr</v>
      </c>
    </row>
    <row r="33" customFormat="false" ht="15" hidden="false" customHeight="true" outlineLevel="0" collapsed="false">
      <c r="B33" s="44" t="n">
        <v>45992</v>
      </c>
      <c r="C33" s="33" t="s">
        <v>147</v>
      </c>
      <c r="D33" s="32" t="n">
        <v>1130</v>
      </c>
      <c r="E33" s="39" t="str">
        <f aca="false">IFERROR(VLOOKUP(D33,'Chart of Accounts'!$C$6:$D$32,2,FALSE()),"")</f>
        <v/>
      </c>
      <c r="F33" s="33" t="s">
        <v>148</v>
      </c>
      <c r="G33" s="40"/>
      <c r="H33" s="40" t="n">
        <v>25000000</v>
      </c>
      <c r="I33" s="39" t="str">
        <f aca="false">IF(F33&gt;0,"Dr",IF(G33&gt;0,"Cr",""))</f>
        <v>Dr</v>
      </c>
    </row>
    <row r="34" customFormat="false" ht="15" hidden="false" customHeight="true" outlineLevel="0" collapsed="false">
      <c r="B34" s="43" t="n">
        <v>46006</v>
      </c>
      <c r="C34" s="31" t="s">
        <v>149</v>
      </c>
      <c r="D34" s="30" t="n">
        <v>2000</v>
      </c>
      <c r="E34" s="36" t="str">
        <f aca="false">IFERROR(VLOOKUP(D34,'Chart of Accounts'!$C$6:$D$32,2,FALSE()),"")</f>
        <v/>
      </c>
      <c r="F34" s="31" t="s">
        <v>150</v>
      </c>
      <c r="G34" s="37" t="n">
        <v>100000000</v>
      </c>
      <c r="H34" s="37"/>
      <c r="I34" s="36" t="str">
        <f aca="false">IF(F34&gt;0,"Dr",IF(G34&gt;0,"Cr",""))</f>
        <v>Dr</v>
      </c>
    </row>
    <row r="35" customFormat="false" ht="15" hidden="false" customHeight="true" outlineLevel="0" collapsed="false">
      <c r="B35" s="43" t="n">
        <v>46006</v>
      </c>
      <c r="C35" s="31" t="s">
        <v>149</v>
      </c>
      <c r="D35" s="30" t="n">
        <v>1130</v>
      </c>
      <c r="E35" s="36" t="str">
        <f aca="false">IFERROR(VLOOKUP(D35,'Chart of Accounts'!$C$6:$D$32,2,FALSE()),"")</f>
        <v/>
      </c>
      <c r="F35" s="31" t="s">
        <v>150</v>
      </c>
      <c r="G35" s="37"/>
      <c r="H35" s="37" t="n">
        <v>100000000</v>
      </c>
      <c r="I35" s="36" t="str">
        <f aca="false">IF(F35&gt;0,"Dr",IF(G35&gt;0,"Cr",""))</f>
        <v>Dr</v>
      </c>
    </row>
    <row r="36" customFormat="false" ht="15" hidden="false" customHeight="true" outlineLevel="0" collapsed="false">
      <c r="B36" s="44" t="n">
        <v>46032</v>
      </c>
      <c r="C36" s="33" t="s">
        <v>151</v>
      </c>
      <c r="D36" s="32" t="n">
        <v>1130</v>
      </c>
      <c r="E36" s="39" t="str">
        <f aca="false">IFERROR(VLOOKUP(D36,'Chart of Accounts'!$C$6:$D$32,2,FALSE()),"")</f>
        <v/>
      </c>
      <c r="F36" s="33" t="s">
        <v>152</v>
      </c>
      <c r="G36" s="40" t="n">
        <v>20000000</v>
      </c>
      <c r="H36" s="40"/>
      <c r="I36" s="39" t="str">
        <f aca="false">IF(F36&gt;0,"Dr",IF(G36&gt;0,"Cr",""))</f>
        <v>Dr</v>
      </c>
    </row>
    <row r="37" customFormat="false" ht="15" hidden="false" customHeight="true" outlineLevel="0" collapsed="false">
      <c r="B37" s="44" t="n">
        <v>46032</v>
      </c>
      <c r="C37" s="33" t="s">
        <v>151</v>
      </c>
      <c r="D37" s="32" t="n">
        <v>2120</v>
      </c>
      <c r="E37" s="39" t="str">
        <f aca="false">IFERROR(VLOOKUP(D37,'Chart of Accounts'!$C$6:$D$32,2,FALSE()),"")</f>
        <v/>
      </c>
      <c r="F37" s="33" t="s">
        <v>152</v>
      </c>
      <c r="G37" s="40"/>
      <c r="H37" s="40" t="n">
        <v>20000000</v>
      </c>
      <c r="I37" s="39" t="str">
        <f aca="false">IF(F37&gt;0,"Dr",IF(G37&gt;0,"Cr",""))</f>
        <v>Dr</v>
      </c>
    </row>
    <row r="38" customFormat="false" ht="15" hidden="false" customHeight="true" outlineLevel="0" collapsed="false">
      <c r="B38" s="43" t="n">
        <v>46042</v>
      </c>
      <c r="C38" s="31" t="s">
        <v>153</v>
      </c>
      <c r="D38" s="30" t="n">
        <v>1120</v>
      </c>
      <c r="E38" s="36" t="str">
        <f aca="false">IFERROR(VLOOKUP(D38,'Chart of Accounts'!$C$6:$D$32,2,FALSE()),"")</f>
        <v/>
      </c>
      <c r="F38" s="31" t="s">
        <v>154</v>
      </c>
      <c r="G38" s="37" t="n">
        <v>25000000</v>
      </c>
      <c r="H38" s="37"/>
      <c r="I38" s="36" t="str">
        <f aca="false">IF(F38&gt;0,"Dr",IF(G38&gt;0,"Cr",""))</f>
        <v>Dr</v>
      </c>
    </row>
    <row r="39" customFormat="false" ht="15" hidden="false" customHeight="true" outlineLevel="0" collapsed="false">
      <c r="B39" s="43" t="n">
        <v>46042</v>
      </c>
      <c r="C39" s="31" t="s">
        <v>153</v>
      </c>
      <c r="D39" s="30" t="n">
        <v>1130</v>
      </c>
      <c r="E39" s="36" t="str">
        <f aca="false">IFERROR(VLOOKUP(D39,'Chart of Accounts'!$C$6:$D$32,2,FALSE()),"")</f>
        <v/>
      </c>
      <c r="F39" s="31" t="s">
        <v>154</v>
      </c>
      <c r="G39" s="37"/>
      <c r="H39" s="37" t="n">
        <v>25000000</v>
      </c>
      <c r="I39" s="36" t="str">
        <f aca="false">IF(F39&gt;0,"Dr",IF(G39&gt;0,"Cr",""))</f>
        <v>Dr</v>
      </c>
    </row>
    <row r="40" customFormat="false" ht="15" hidden="false" customHeight="true" outlineLevel="0" collapsed="false">
      <c r="B40" s="44" t="n">
        <v>46063</v>
      </c>
      <c r="C40" s="33" t="s">
        <v>155</v>
      </c>
      <c r="D40" s="32" t="n">
        <v>5050</v>
      </c>
      <c r="E40" s="39" t="str">
        <f aca="false">IFERROR(VLOOKUP(D40,'Chart of Accounts'!$C$6:$D$32,2,FALSE()),"")</f>
        <v/>
      </c>
      <c r="F40" s="33" t="s">
        <v>156</v>
      </c>
      <c r="G40" s="40" t="n">
        <v>15000000</v>
      </c>
      <c r="H40" s="40"/>
      <c r="I40" s="39" t="str">
        <f aca="false">IF(F40&gt;0,"Dr",IF(G40&gt;0,"Cr",""))</f>
        <v>Dr</v>
      </c>
    </row>
    <row r="41" customFormat="false" ht="15" hidden="false" customHeight="true" outlineLevel="0" collapsed="false">
      <c r="B41" s="44" t="n">
        <v>46063</v>
      </c>
      <c r="C41" s="33" t="s">
        <v>155</v>
      </c>
      <c r="D41" s="32" t="n">
        <v>2110</v>
      </c>
      <c r="E41" s="39" t="str">
        <f aca="false">IFERROR(VLOOKUP(D41,'Chart of Accounts'!$C$6:$D$32,2,FALSE()),"")</f>
        <v/>
      </c>
      <c r="F41" s="33" t="s">
        <v>156</v>
      </c>
      <c r="G41" s="40"/>
      <c r="H41" s="40" t="n">
        <v>15000000</v>
      </c>
      <c r="I41" s="39" t="str">
        <f aca="false">IF(F41&gt;0,"Dr",IF(G41&gt;0,"Cr",""))</f>
        <v>Dr</v>
      </c>
    </row>
    <row r="42" customFormat="false" ht="15" hidden="false" customHeight="true" outlineLevel="0" collapsed="false">
      <c r="B42" s="43" t="n">
        <v>46082</v>
      </c>
      <c r="C42" s="31" t="s">
        <v>157</v>
      </c>
      <c r="D42" s="30" t="n">
        <v>1130</v>
      </c>
      <c r="E42" s="36" t="str">
        <f aca="false">IFERROR(VLOOKUP(D42,'Chart of Accounts'!$C$6:$D$32,2,FALSE()),"")</f>
        <v/>
      </c>
      <c r="F42" s="31" t="s">
        <v>158</v>
      </c>
      <c r="G42" s="37" t="n">
        <v>10000000</v>
      </c>
      <c r="H42" s="37"/>
      <c r="I42" s="36" t="str">
        <f aca="false">IF(F42&gt;0,"Dr",IF(G42&gt;0,"Cr",""))</f>
        <v>Dr</v>
      </c>
    </row>
    <row r="43" customFormat="false" ht="15" hidden="false" customHeight="true" outlineLevel="0" collapsed="false">
      <c r="B43" s="43" t="n">
        <v>46082</v>
      </c>
      <c r="C43" s="31" t="s">
        <v>157</v>
      </c>
      <c r="D43" s="30" t="n">
        <v>3000</v>
      </c>
      <c r="E43" s="36" t="str">
        <f aca="false">IFERROR(VLOOKUP(D43,'Chart of Accounts'!$C$6:$D$32,2,FALSE()),"")</f>
        <v/>
      </c>
      <c r="F43" s="31" t="s">
        <v>158</v>
      </c>
      <c r="G43" s="37"/>
      <c r="H43" s="37" t="n">
        <v>10000000</v>
      </c>
      <c r="I43" s="36" t="str">
        <f aca="false">IF(F43&gt;0,"Dr",IF(G43&gt;0,"Cr",""))</f>
        <v>Dr</v>
      </c>
    </row>
    <row r="44" customFormat="false" ht="15" hidden="false" customHeight="true" outlineLevel="0" collapsed="false">
      <c r="B44" s="44" t="n">
        <v>46112</v>
      </c>
      <c r="C44" s="33" t="s">
        <v>159</v>
      </c>
      <c r="D44" s="32" t="n">
        <v>5070</v>
      </c>
      <c r="E44" s="39" t="str">
        <f aca="false">IFERROR(VLOOKUP(D44,'Chart of Accounts'!$C$6:$D$32,2,FALSE()),"")</f>
        <v/>
      </c>
      <c r="F44" s="33" t="s">
        <v>160</v>
      </c>
      <c r="G44" s="40" t="n">
        <v>10000000</v>
      </c>
      <c r="H44" s="40"/>
      <c r="I44" s="39" t="str">
        <f aca="false">IF(F44&gt;0,"Dr",IF(G44&gt;0,"Cr",""))</f>
        <v>Dr</v>
      </c>
    </row>
    <row r="45" customFormat="false" ht="15" hidden="false" customHeight="true" outlineLevel="0" collapsed="false">
      <c r="B45" s="44" t="n">
        <v>46112</v>
      </c>
      <c r="C45" s="33" t="s">
        <v>159</v>
      </c>
      <c r="D45" s="32" t="n">
        <v>2130</v>
      </c>
      <c r="E45" s="39" t="str">
        <f aca="false">IFERROR(VLOOKUP(D45,'Chart of Accounts'!$C$6:$D$32,2,FALSE()),"")</f>
        <v/>
      </c>
      <c r="F45" s="33" t="s">
        <v>160</v>
      </c>
      <c r="G45" s="40"/>
      <c r="H45" s="40" t="n">
        <v>10000000</v>
      </c>
      <c r="I45" s="39" t="str">
        <f aca="false">IF(F45&gt;0,"Dr",IF(G45&gt;0,"Cr",""))</f>
        <v>Dr</v>
      </c>
    </row>
    <row r="46" customFormat="false" ht="15" hidden="false" customHeight="true" outlineLevel="0" collapsed="false">
      <c r="B46" s="43" t="n">
        <v>46127</v>
      </c>
      <c r="C46" s="31" t="s">
        <v>161</v>
      </c>
      <c r="D46" s="30" t="n">
        <v>2130</v>
      </c>
      <c r="E46" s="36" t="str">
        <f aca="false">IFERROR(VLOOKUP(D46,'Chart of Accounts'!$C$6:$D$32,2,FALSE()),"")</f>
        <v/>
      </c>
      <c r="F46" s="31" t="s">
        <v>162</v>
      </c>
      <c r="G46" s="37" t="n">
        <v>8000000</v>
      </c>
      <c r="H46" s="37"/>
      <c r="I46" s="36" t="str">
        <f aca="false">IF(F46&gt;0,"Dr",IF(G46&gt;0,"Cr",""))</f>
        <v>Dr</v>
      </c>
    </row>
    <row r="47" customFormat="false" ht="15" hidden="false" customHeight="true" outlineLevel="0" collapsed="false">
      <c r="B47" s="43" t="n">
        <v>46127</v>
      </c>
      <c r="C47" s="31" t="s">
        <v>161</v>
      </c>
      <c r="D47" s="30" t="n">
        <v>1130</v>
      </c>
      <c r="E47" s="36" t="str">
        <f aca="false">IFERROR(VLOOKUP(D47,'Chart of Accounts'!$C$6:$D$32,2,FALSE()),"")</f>
        <v/>
      </c>
      <c r="F47" s="31" t="s">
        <v>162</v>
      </c>
      <c r="G47" s="37"/>
      <c r="H47" s="37" t="n">
        <v>8000000</v>
      </c>
      <c r="I47" s="36" t="str">
        <f aca="false">IF(F47&gt;0,"Dr",IF(G47&gt;0,"Cr",""))</f>
        <v>Dr</v>
      </c>
    </row>
    <row r="48" customFormat="false" ht="15" hidden="false" customHeight="true" outlineLevel="0" collapsed="false">
      <c r="B48" s="44" t="n">
        <v>46142</v>
      </c>
      <c r="C48" s="33" t="s">
        <v>163</v>
      </c>
      <c r="D48" s="32" t="n">
        <v>5070</v>
      </c>
      <c r="E48" s="39" t="str">
        <f aca="false">IFERROR(VLOOKUP(D48,'Chart of Accounts'!$C$6:$D$32,2,FALSE()),"")</f>
        <v/>
      </c>
      <c r="F48" s="33" t="s">
        <v>164</v>
      </c>
      <c r="G48" s="40" t="n">
        <v>5000000</v>
      </c>
      <c r="H48" s="40"/>
      <c r="I48" s="39" t="str">
        <f aca="false">IF(F48&gt;0,"Dr",IF(G48&gt;0,"Cr",""))</f>
        <v>Dr</v>
      </c>
    </row>
    <row r="49" customFormat="false" ht="15" hidden="false" customHeight="true" outlineLevel="0" collapsed="false">
      <c r="B49" s="44" t="n">
        <v>46142</v>
      </c>
      <c r="C49" s="33" t="s">
        <v>163</v>
      </c>
      <c r="D49" s="32" t="n">
        <v>2010</v>
      </c>
      <c r="E49" s="39" t="str">
        <f aca="false">IFERROR(VLOOKUP(D49,'Chart of Accounts'!$C$6:$D$32,2,FALSE()),"")</f>
        <v/>
      </c>
      <c r="F49" s="33" t="s">
        <v>164</v>
      </c>
      <c r="G49" s="40"/>
      <c r="H49" s="40" t="n">
        <v>5000000</v>
      </c>
      <c r="I49" s="39" t="str">
        <f aca="false">IF(F49&gt;0,"Dr",IF(G49&gt;0,"Cr",""))</f>
        <v>Dr</v>
      </c>
    </row>
    <row r="50" customFormat="false" ht="15" hidden="false" customHeight="true" outlineLevel="0" collapsed="false">
      <c r="B50" s="43" t="n">
        <v>46157</v>
      </c>
      <c r="C50" s="31" t="s">
        <v>165</v>
      </c>
      <c r="D50" s="30" t="n">
        <v>3010</v>
      </c>
      <c r="E50" s="36" t="str">
        <f aca="false">IFERROR(VLOOKUP(D50,'Chart of Accounts'!$C$6:$D$32,2,FALSE()),"")</f>
        <v/>
      </c>
      <c r="F50" s="31" t="s">
        <v>166</v>
      </c>
      <c r="G50" s="37" t="n">
        <v>50000000</v>
      </c>
      <c r="H50" s="37"/>
      <c r="I50" s="36" t="str">
        <f aca="false">IF(F50&gt;0,"Dr",IF(G50&gt;0,"Cr",""))</f>
        <v>Dr</v>
      </c>
    </row>
    <row r="51" customFormat="false" ht="15" hidden="false" customHeight="true" outlineLevel="0" collapsed="false">
      <c r="B51" s="43" t="n">
        <v>46157</v>
      </c>
      <c r="C51" s="31" t="s">
        <v>165</v>
      </c>
      <c r="D51" s="30" t="n">
        <v>1130</v>
      </c>
      <c r="E51" s="36" t="str">
        <f aca="false">IFERROR(VLOOKUP(D51,'Chart of Accounts'!$C$6:$D$32,2,FALSE()),"")</f>
        <v/>
      </c>
      <c r="F51" s="31" t="s">
        <v>166</v>
      </c>
      <c r="G51" s="37"/>
      <c r="H51" s="37" t="n">
        <v>50000000</v>
      </c>
      <c r="I51" s="36" t="str">
        <f aca="false">IF(F51&gt;0,"Dr",IF(G51&gt;0,"Cr",""))</f>
        <v>Dr</v>
      </c>
    </row>
    <row r="52" customFormat="false" ht="15" hidden="false" customHeight="true" outlineLevel="0" collapsed="false">
      <c r="B52" s="44" t="n">
        <v>46203</v>
      </c>
      <c r="C52" s="33" t="s">
        <v>167</v>
      </c>
      <c r="D52" s="32" t="n">
        <v>5030</v>
      </c>
      <c r="E52" s="39" t="str">
        <f aca="false">IFERROR(VLOOKUP(D52,'Chart of Accounts'!$C$6:$D$32,2,FALSE()),"")</f>
        <v/>
      </c>
      <c r="F52" s="33" t="s">
        <v>168</v>
      </c>
      <c r="G52" s="40" t="n">
        <v>79522592</v>
      </c>
      <c r="H52" s="40"/>
      <c r="I52" s="39" t="str">
        <f aca="false">IF(F52&gt;0,"Dr",IF(G52&gt;0,"Cr",""))</f>
        <v>Dr</v>
      </c>
    </row>
    <row r="53" customFormat="false" ht="15" hidden="false" customHeight="true" outlineLevel="0" collapsed="false">
      <c r="B53" s="44" t="n">
        <v>46203</v>
      </c>
      <c r="C53" s="33" t="s">
        <v>167</v>
      </c>
      <c r="D53" s="32" t="n">
        <v>1010</v>
      </c>
      <c r="E53" s="39" t="str">
        <f aca="false">IFERROR(VLOOKUP(D53,'Chart of Accounts'!$C$6:$D$32,2,FALSE()),"")</f>
        <v/>
      </c>
      <c r="F53" s="33" t="s">
        <v>168</v>
      </c>
      <c r="G53" s="40"/>
      <c r="H53" s="40" t="n">
        <v>79522592</v>
      </c>
      <c r="I53" s="39" t="str">
        <f aca="false">IF(F53&gt;0,"Dr",IF(G53&gt;0,"Cr",""))</f>
        <v>Dr</v>
      </c>
    </row>
    <row r="54" customFormat="false" ht="15" hidden="false" customHeight="true" outlineLevel="0" collapsed="false">
      <c r="B54" s="43" t="n">
        <v>46203</v>
      </c>
      <c r="C54" s="31" t="s">
        <v>169</v>
      </c>
      <c r="D54" s="30" t="n">
        <v>1130</v>
      </c>
      <c r="E54" s="36" t="str">
        <f aca="false">IFERROR(VLOOKUP(D54,'Chart of Accounts'!$C$6:$D$32,2,FALSE()),"")</f>
        <v/>
      </c>
      <c r="F54" s="31" t="s">
        <v>170</v>
      </c>
      <c r="G54" s="37" t="n">
        <v>150000000</v>
      </c>
      <c r="H54" s="37"/>
      <c r="I54" s="36" t="str">
        <f aca="false">IF(F54&gt;0,"Dr",IF(G54&gt;0,"Cr",""))</f>
        <v>Dr</v>
      </c>
    </row>
    <row r="55" customFormat="false" ht="15" hidden="false" customHeight="true" outlineLevel="0" collapsed="false">
      <c r="B55" s="43" t="n">
        <v>46203</v>
      </c>
      <c r="C55" s="31" t="s">
        <v>169</v>
      </c>
      <c r="D55" s="30" t="n">
        <v>1110</v>
      </c>
      <c r="E55" s="36" t="str">
        <f aca="false">IFERROR(VLOOKUP(D55,'Chart of Accounts'!$C$6:$D$32,2,FALSE()),"")</f>
        <v/>
      </c>
      <c r="F55" s="31" t="s">
        <v>170</v>
      </c>
      <c r="G55" s="37"/>
      <c r="H55" s="37" t="n">
        <v>150000000</v>
      </c>
      <c r="I55" s="36" t="str">
        <f aca="false">IF(F55&gt;0,"Dr",IF(G55&gt;0,"Cr",""))</f>
        <v>Dr</v>
      </c>
    </row>
    <row r="57" customFormat="false" ht="15" hidden="false" customHeight="true" outlineLevel="0" collapsed="false">
      <c r="E57" s="45" t="s">
        <v>171</v>
      </c>
      <c r="F57" s="46" t="n">
        <f aca="false">SUM(G6:G55)</f>
        <v>2786522592</v>
      </c>
      <c r="G57" s="46" t="n">
        <f aca="false">SUM(H6:H55)</f>
        <v>2786522592</v>
      </c>
    </row>
    <row r="58" customFormat="false" ht="15" hidden="false" customHeight="true" outlineLevel="0" collapsed="false">
      <c r="E58" s="45" t="s">
        <v>172</v>
      </c>
      <c r="G58" s="42" t="str">
        <f aca="false">IF(ROUND(F57-G57,2)=0,"TRUE","CHECK!")</f>
        <v>TRUE</v>
      </c>
    </row>
  </sheetData>
  <mergeCells count="1">
    <mergeCell ref="B3:H3"/>
  </mergeCells>
  <conditionalFormatting sqref="G58">
    <cfRule type="expression" priority="2" aboveAverage="0" equalAverage="0" bottom="0" percent="0" rank="0" text="" dxfId="0">
      <formula>G58="TRUE"</formula>
    </cfRule>
    <cfRule type="expression" priority="3" aboveAverage="0" equalAverage="0" bottom="0" percent="0" rank="0" text="" dxfId="1">
      <formula>G58&lt;&gt;"TRUE"</formula>
    </cfRule>
  </conditionalFormatting>
  <dataValidations count="1">
    <dataValidation allowBlank="true" errorStyle="stop" operator="between" showDropDown="false" showErrorMessage="false" showInputMessage="false" sqref="D6:D1058" type="list">
      <formula1>'Chart of Accounts'!$C$6:$C$32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E71"/>
    <pageSetUpPr fitToPage="false"/>
  </sheetPr>
  <dimension ref="B2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9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12" min="7" style="1" width="14"/>
  </cols>
  <sheetData>
    <row r="2" customFormat="false" ht="17.25" hidden="false" customHeight="true" outlineLevel="0" collapsed="false">
      <c r="B2" s="27" t="s">
        <v>173</v>
      </c>
    </row>
    <row r="3" customFormat="false" ht="15" hidden="false" customHeight="true" outlineLevel="0" collapsed="false">
      <c r="B3" s="28" t="s">
        <v>174</v>
      </c>
    </row>
    <row r="5" customFormat="false" ht="15" hidden="false" customHeight="true" outlineLevel="0" collapsed="false">
      <c r="B5" s="29" t="s">
        <v>175</v>
      </c>
      <c r="C5" s="29" t="s">
        <v>57</v>
      </c>
      <c r="D5" s="29" t="s">
        <v>176</v>
      </c>
      <c r="E5" s="29" t="s">
        <v>60</v>
      </c>
      <c r="F5" s="29" t="s">
        <v>177</v>
      </c>
      <c r="G5" s="29" t="s">
        <v>178</v>
      </c>
      <c r="H5" s="29" t="s">
        <v>179</v>
      </c>
      <c r="I5" s="29" t="s">
        <v>180</v>
      </c>
      <c r="J5" s="29" t="s">
        <v>181</v>
      </c>
      <c r="K5" s="29" t="s">
        <v>182</v>
      </c>
      <c r="L5" s="29" t="s">
        <v>183</v>
      </c>
    </row>
    <row r="6" customFormat="false" ht="15" hidden="false" customHeight="true" outlineLevel="0" collapsed="false">
      <c r="B6" s="36" t="n">
        <f aca="false">'Chart of Accounts'!B6</f>
        <v>1000</v>
      </c>
      <c r="C6" s="36" t="str">
        <f aca="false">'Chart of Accounts'!C6</f>
        <v>Property, Plant &amp; Equipment</v>
      </c>
      <c r="D6" s="36" t="str">
        <f aca="false">'Chart of Accounts'!D6</f>
        <v>BS</v>
      </c>
      <c r="E6" s="36" t="str">
        <f aca="false">'Chart of Accounts'!E6</f>
        <v>Asset</v>
      </c>
      <c r="F6" s="36" t="str">
        <f aca="false">'Chart of Accounts'!H6</f>
        <v>Investing</v>
      </c>
      <c r="G6" s="47" t="n">
        <f aca="false">IFERROR(SUMIF('Opening Balances'!$B$6:$B$22,B6,'Opening Balances'!$D$6:$D$22),0)</f>
        <v>800000000</v>
      </c>
      <c r="H6" s="47" t="n">
        <f aca="false">IFERROR(SUMIF('Opening Balances'!$B$6:$B$22,B6,'Opening Balances'!$E$6:$E$22),0)</f>
        <v>0</v>
      </c>
      <c r="I6" s="48" t="n">
        <f aca="false">SUMIFS('Journal Entries'!$G$6:$G$55,'Journal Entries'!$D$6:$D$55,B6)</f>
        <v>85000000</v>
      </c>
      <c r="J6" s="48" t="n">
        <f aca="false">SUMIFS('Journal Entries'!$H$6:$H$55,'Journal Entries'!$D$6:$D$55,B6)</f>
        <v>0</v>
      </c>
      <c r="K6" s="48" t="n">
        <f aca="false">MAX((G6-H6)+(I6-J6),0)</f>
        <v>885000000</v>
      </c>
      <c r="L6" s="48" t="n">
        <f aca="false">MAX(-((G6-H6)+(I6-J6)),0)</f>
        <v>0</v>
      </c>
    </row>
    <row r="7" customFormat="false" ht="15" hidden="false" customHeight="true" outlineLevel="0" collapsed="false">
      <c r="B7" s="39" t="n">
        <f aca="false">'Chart of Accounts'!B7</f>
        <v>1010</v>
      </c>
      <c r="C7" s="39" t="str">
        <f aca="false">'Chart of Accounts'!C7</f>
        <v>Accumulated Depreciation</v>
      </c>
      <c r="D7" s="39" t="str">
        <f aca="false">'Chart of Accounts'!D7</f>
        <v>BS</v>
      </c>
      <c r="E7" s="39" t="str">
        <f aca="false">'Chart of Accounts'!E7</f>
        <v>Asset</v>
      </c>
      <c r="F7" s="39" t="str">
        <f aca="false">'Chart of Accounts'!H7</f>
        <v>Non-Cash</v>
      </c>
      <c r="G7" s="49" t="n">
        <f aca="false">IFERROR(SUMIF('Opening Balances'!$B$6:$B$22,B7,'Opening Balances'!$D$6:$D$22),0)</f>
        <v>0</v>
      </c>
      <c r="H7" s="49" t="n">
        <f aca="false">IFERROR(SUMIF('Opening Balances'!$B$6:$B$22,B7,'Opening Balances'!$E$6:$E$22),0)</f>
        <v>0</v>
      </c>
      <c r="I7" s="50" t="n">
        <f aca="false">SUMIFS('Journal Entries'!$G$6:$G$55,'Journal Entries'!$D$6:$D$55,B7)</f>
        <v>0</v>
      </c>
      <c r="J7" s="50" t="n">
        <f aca="false">SUMIFS('Journal Entries'!$H$6:$H$55,'Journal Entries'!$D$6:$D$55,B7)</f>
        <v>79522592</v>
      </c>
      <c r="K7" s="50" t="n">
        <f aca="false">MAX((G7-H7)+(I7-J7),0)</f>
        <v>0</v>
      </c>
      <c r="L7" s="50" t="n">
        <f aca="false">MAX(-((G7-H7)+(I7-J7)),0)</f>
        <v>79522592</v>
      </c>
    </row>
    <row r="8" customFormat="false" ht="15" hidden="false" customHeight="true" outlineLevel="0" collapsed="false">
      <c r="B8" s="36" t="n">
        <f aca="false">'Chart of Accounts'!B8</f>
        <v>1020</v>
      </c>
      <c r="C8" s="36" t="str">
        <f aca="false">'Chart of Accounts'!C8</f>
        <v>Capital Work-in-Progress</v>
      </c>
      <c r="D8" s="36" t="str">
        <f aca="false">'Chart of Accounts'!D8</f>
        <v>BS</v>
      </c>
      <c r="E8" s="36" t="str">
        <f aca="false">'Chart of Accounts'!E8</f>
        <v>Asset</v>
      </c>
      <c r="F8" s="36" t="str">
        <f aca="false">'Chart of Accounts'!H8</f>
        <v>Investing</v>
      </c>
      <c r="G8" s="47" t="n">
        <f aca="false">IFERROR(SUMIF('Opening Balances'!$B$6:$B$22,B8,'Opening Balances'!$D$6:$D$22),0)</f>
        <v>50000000</v>
      </c>
      <c r="H8" s="47" t="n">
        <f aca="false">IFERROR(SUMIF('Opening Balances'!$B$6:$B$22,B8,'Opening Balances'!$E$6:$E$22),0)</f>
        <v>0</v>
      </c>
      <c r="I8" s="48" t="n">
        <f aca="false">SUMIFS('Journal Entries'!$G$6:$G$55,'Journal Entries'!$D$6:$D$55,B8)</f>
        <v>40000000</v>
      </c>
      <c r="J8" s="48" t="n">
        <f aca="false">SUMIFS('Journal Entries'!$H$6:$H$55,'Journal Entries'!$D$6:$D$55,B8)</f>
        <v>0</v>
      </c>
      <c r="K8" s="48" t="n">
        <f aca="false">MAX((G8-H8)+(I8-J8),0)</f>
        <v>90000000</v>
      </c>
      <c r="L8" s="48" t="n">
        <f aca="false">MAX(-((G8-H8)+(I8-J8)),0)</f>
        <v>0</v>
      </c>
    </row>
    <row r="9" customFormat="false" ht="15" hidden="false" customHeight="true" outlineLevel="0" collapsed="false">
      <c r="B9" s="39" t="n">
        <f aca="false">'Chart of Accounts'!B9</f>
        <v>1030</v>
      </c>
      <c r="C9" s="39" t="str">
        <f aca="false">'Chart of Accounts'!C9</f>
        <v>Long-Term Investments</v>
      </c>
      <c r="D9" s="39" t="str">
        <f aca="false">'Chart of Accounts'!D9</f>
        <v>BS</v>
      </c>
      <c r="E9" s="39" t="str">
        <f aca="false">'Chart of Accounts'!E9</f>
        <v>Asset</v>
      </c>
      <c r="F9" s="39" t="str">
        <f aca="false">'Chart of Accounts'!H9</f>
        <v>Investing</v>
      </c>
      <c r="G9" s="49" t="n">
        <f aca="false">IFERROR(SUMIF('Opening Balances'!$B$6:$B$22,B9,'Opening Balances'!$D$6:$D$22),0)</f>
        <v>20000000</v>
      </c>
      <c r="H9" s="49" t="n">
        <f aca="false">IFERROR(SUMIF('Opening Balances'!$B$6:$B$22,B9,'Opening Balances'!$E$6:$E$22),0)</f>
        <v>0</v>
      </c>
      <c r="I9" s="50" t="n">
        <f aca="false">SUMIFS('Journal Entries'!$G$6:$G$55,'Journal Entries'!$D$6:$D$55,B9)</f>
        <v>0</v>
      </c>
      <c r="J9" s="50" t="n">
        <f aca="false">SUMIFS('Journal Entries'!$H$6:$H$55,'Journal Entries'!$D$6:$D$55,B9)</f>
        <v>0</v>
      </c>
      <c r="K9" s="50" t="n">
        <f aca="false">MAX((G9-H9)+(I9-J9),0)</f>
        <v>20000000</v>
      </c>
      <c r="L9" s="50" t="n">
        <f aca="false">MAX(-((G9-H9)+(I9-J9)),0)</f>
        <v>0</v>
      </c>
    </row>
    <row r="10" customFormat="false" ht="15" hidden="false" customHeight="true" outlineLevel="0" collapsed="false">
      <c r="B10" s="36" t="n">
        <f aca="false">'Chart of Accounts'!B10</f>
        <v>1100</v>
      </c>
      <c r="C10" s="36" t="str">
        <f aca="false">'Chart of Accounts'!C10</f>
        <v>Inventories</v>
      </c>
      <c r="D10" s="36" t="str">
        <f aca="false">'Chart of Accounts'!D10</f>
        <v>BS</v>
      </c>
      <c r="E10" s="36" t="str">
        <f aca="false">'Chart of Accounts'!E10</f>
        <v>Asset</v>
      </c>
      <c r="F10" s="36" t="str">
        <f aca="false">'Chart of Accounts'!H10</f>
        <v>Operating</v>
      </c>
      <c r="G10" s="47" t="n">
        <f aca="false">IFERROR(SUMIF('Opening Balances'!$B$6:$B$22,B10,'Opening Balances'!$D$6:$D$22),0)</f>
        <v>120000000</v>
      </c>
      <c r="H10" s="47" t="n">
        <f aca="false">IFERROR(SUMIF('Opening Balances'!$B$6:$B$22,B10,'Opening Balances'!$E$6:$E$22),0)</f>
        <v>0</v>
      </c>
      <c r="I10" s="48" t="n">
        <f aca="false">SUMIFS('Journal Entries'!$G$6:$G$55,'Journal Entries'!$D$6:$D$55,B10)</f>
        <v>300000000</v>
      </c>
      <c r="J10" s="48" t="n">
        <f aca="false">SUMIFS('Journal Entries'!$H$6:$H$55,'Journal Entries'!$D$6:$D$55,B10)</f>
        <v>380000000</v>
      </c>
      <c r="K10" s="48" t="n">
        <f aca="false">MAX((G10-H10)+(I10-J10),0)</f>
        <v>40000000</v>
      </c>
      <c r="L10" s="48" t="n">
        <f aca="false">MAX(-((G10-H10)+(I10-J10)),0)</f>
        <v>0</v>
      </c>
    </row>
    <row r="11" customFormat="false" ht="15" hidden="false" customHeight="true" outlineLevel="0" collapsed="false">
      <c r="B11" s="39" t="n">
        <f aca="false">'Chart of Accounts'!B11</f>
        <v>1110</v>
      </c>
      <c r="C11" s="39" t="str">
        <f aca="false">'Chart of Accounts'!C11</f>
        <v>Accounts Receivable</v>
      </c>
      <c r="D11" s="39" t="str">
        <f aca="false">'Chart of Accounts'!D11</f>
        <v>BS</v>
      </c>
      <c r="E11" s="39" t="str">
        <f aca="false">'Chart of Accounts'!E11</f>
        <v>Asset</v>
      </c>
      <c r="F11" s="39" t="str">
        <f aca="false">'Chart of Accounts'!H11</f>
        <v>Operating</v>
      </c>
      <c r="G11" s="49" t="n">
        <f aca="false">IFERROR(SUMIF('Opening Balances'!$B$6:$B$22,B11,'Opening Balances'!$D$6:$D$22),0)</f>
        <v>180000000</v>
      </c>
      <c r="H11" s="49" t="n">
        <f aca="false">IFERROR(SUMIF('Opening Balances'!$B$6:$B$22,B11,'Opening Balances'!$E$6:$E$22),0)</f>
        <v>0</v>
      </c>
      <c r="I11" s="50" t="n">
        <f aca="false">SUMIFS('Journal Entries'!$G$6:$G$55,'Journal Entries'!$D$6:$D$55,B11)</f>
        <v>500000000</v>
      </c>
      <c r="J11" s="50" t="n">
        <f aca="false">SUMIFS('Journal Entries'!$H$6:$H$55,'Journal Entries'!$D$6:$D$55,B11)</f>
        <v>600000000</v>
      </c>
      <c r="K11" s="50" t="n">
        <f aca="false">MAX((G11-H11)+(I11-J11),0)</f>
        <v>80000000</v>
      </c>
      <c r="L11" s="50" t="n">
        <f aca="false">MAX(-((G11-H11)+(I11-J11)),0)</f>
        <v>0</v>
      </c>
    </row>
    <row r="12" customFormat="false" ht="15" hidden="false" customHeight="true" outlineLevel="0" collapsed="false">
      <c r="B12" s="36" t="n">
        <f aca="false">'Chart of Accounts'!B12</f>
        <v>1120</v>
      </c>
      <c r="C12" s="36" t="str">
        <f aca="false">'Chart of Accounts'!C12</f>
        <v>Advances, Deposits &amp; Prepayments</v>
      </c>
      <c r="D12" s="36" t="str">
        <f aca="false">'Chart of Accounts'!D12</f>
        <v>BS</v>
      </c>
      <c r="E12" s="36" t="str">
        <f aca="false">'Chart of Accounts'!E12</f>
        <v>Asset</v>
      </c>
      <c r="F12" s="36" t="str">
        <f aca="false">'Chart of Accounts'!H12</f>
        <v>Operating</v>
      </c>
      <c r="G12" s="47" t="n">
        <f aca="false">IFERROR(SUMIF('Opening Balances'!$B$6:$B$22,B12,'Opening Balances'!$D$6:$D$22),0)</f>
        <v>40000000</v>
      </c>
      <c r="H12" s="47" t="n">
        <f aca="false">IFERROR(SUMIF('Opening Balances'!$B$6:$B$22,B12,'Opening Balances'!$E$6:$E$22),0)</f>
        <v>0</v>
      </c>
      <c r="I12" s="48" t="n">
        <f aca="false">SUMIFS('Journal Entries'!$G$6:$G$55,'Journal Entries'!$D$6:$D$55,B12)</f>
        <v>25000000</v>
      </c>
      <c r="J12" s="48" t="n">
        <f aca="false">SUMIFS('Journal Entries'!$H$6:$H$55,'Journal Entries'!$D$6:$D$55,B12)</f>
        <v>0</v>
      </c>
      <c r="K12" s="48" t="n">
        <f aca="false">MAX((G12-H12)+(I12-J12),0)</f>
        <v>65000000</v>
      </c>
      <c r="L12" s="48" t="n">
        <f aca="false">MAX(-((G12-H12)+(I12-J12)),0)</f>
        <v>0</v>
      </c>
    </row>
    <row r="13" customFormat="false" ht="15" hidden="false" customHeight="true" outlineLevel="0" collapsed="false">
      <c r="B13" s="39" t="n">
        <f aca="false">'Chart of Accounts'!B13</f>
        <v>1130</v>
      </c>
      <c r="C13" s="39" t="str">
        <f aca="false">'Chart of Accounts'!C13</f>
        <v>Cash &amp; Cash Equivalents</v>
      </c>
      <c r="D13" s="39" t="str">
        <f aca="false">'Chart of Accounts'!D13</f>
        <v>BS</v>
      </c>
      <c r="E13" s="39" t="str">
        <f aca="false">'Chart of Accounts'!E13</f>
        <v>Asset</v>
      </c>
      <c r="F13" s="39" t="str">
        <f aca="false">'Chart of Accounts'!H13</f>
        <v>Cash</v>
      </c>
      <c r="G13" s="49" t="n">
        <f aca="false">IFERROR(SUMIF('Opening Balances'!$B$6:$B$22,B13,'Opening Balances'!$D$6:$D$22),0)</f>
        <v>60000000</v>
      </c>
      <c r="H13" s="49" t="n">
        <f aca="false">IFERROR(SUMIF('Opening Balances'!$B$6:$B$22,B13,'Opening Balances'!$E$6:$E$22),0)</f>
        <v>0</v>
      </c>
      <c r="I13" s="50" t="n">
        <f aca="false">SUMIFS('Journal Entries'!$G$6:$G$55,'Journal Entries'!$D$6:$D$55,B13)</f>
        <v>788000000</v>
      </c>
      <c r="J13" s="50" t="n">
        <f aca="false">SUMIFS('Journal Entries'!$H$6:$H$55,'Journal Entries'!$D$6:$D$55,B13)</f>
        <v>709000000</v>
      </c>
      <c r="K13" s="50" t="n">
        <f aca="false">MAX((G13-H13)+(I13-J13),0)</f>
        <v>139000000</v>
      </c>
      <c r="L13" s="50" t="n">
        <f aca="false">MAX(-((G13-H13)+(I13-J13)),0)</f>
        <v>0</v>
      </c>
    </row>
    <row r="14" customFormat="false" ht="15" hidden="false" customHeight="true" outlineLevel="0" collapsed="false">
      <c r="B14" s="36" t="n">
        <f aca="false">'Chart of Accounts'!B14</f>
        <v>2000</v>
      </c>
      <c r="C14" s="36" t="str">
        <f aca="false">'Chart of Accounts'!C14</f>
        <v>Long-Term Loan</v>
      </c>
      <c r="D14" s="36" t="str">
        <f aca="false">'Chart of Accounts'!D14</f>
        <v>BS</v>
      </c>
      <c r="E14" s="36" t="str">
        <f aca="false">'Chart of Accounts'!E14</f>
        <v>Liability</v>
      </c>
      <c r="F14" s="36" t="str">
        <f aca="false">'Chart of Accounts'!H14</f>
        <v>Financing</v>
      </c>
      <c r="G14" s="47" t="n">
        <f aca="false">IFERROR(SUMIF('Opening Balances'!$B$6:$B$22,B14,'Opening Balances'!$D$6:$D$22),0)</f>
        <v>0</v>
      </c>
      <c r="H14" s="47" t="n">
        <f aca="false">IFERROR(SUMIF('Opening Balances'!$B$6:$B$22,B14,'Opening Balances'!$E$6:$E$22),0)</f>
        <v>300000000</v>
      </c>
      <c r="I14" s="48" t="n">
        <f aca="false">SUMIFS('Journal Entries'!$G$6:$G$55,'Journal Entries'!$D$6:$D$55,B14)</f>
        <v>100000000</v>
      </c>
      <c r="J14" s="48" t="n">
        <f aca="false">SUMIFS('Journal Entries'!$H$6:$H$55,'Journal Entries'!$D$6:$D$55,B14)</f>
        <v>0</v>
      </c>
      <c r="K14" s="48" t="n">
        <f aca="false">MAX((G14-H14)+(I14-J14),0)</f>
        <v>0</v>
      </c>
      <c r="L14" s="48" t="n">
        <f aca="false">MAX(-((G14-H14)+(I14-J14)),0)</f>
        <v>200000000</v>
      </c>
    </row>
    <row r="15" customFormat="false" ht="15" hidden="false" customHeight="true" outlineLevel="0" collapsed="false">
      <c r="B15" s="39" t="n">
        <f aca="false">'Chart of Accounts'!B15</f>
        <v>2010</v>
      </c>
      <c r="C15" s="39" t="str">
        <f aca="false">'Chart of Accounts'!C15</f>
        <v>Deferred Tax Liability</v>
      </c>
      <c r="D15" s="39" t="str">
        <f aca="false">'Chart of Accounts'!D15</f>
        <v>BS</v>
      </c>
      <c r="E15" s="39" t="str">
        <f aca="false">'Chart of Accounts'!E15</f>
        <v>Liability</v>
      </c>
      <c r="F15" s="39" t="str">
        <f aca="false">'Chart of Accounts'!H15</f>
        <v>Operating</v>
      </c>
      <c r="G15" s="49" t="n">
        <f aca="false">IFERROR(SUMIF('Opening Balances'!$B$6:$B$22,B15,'Opening Balances'!$D$6:$D$22),0)</f>
        <v>0</v>
      </c>
      <c r="H15" s="49" t="n">
        <f aca="false">IFERROR(SUMIF('Opening Balances'!$B$6:$B$22,B15,'Opening Balances'!$E$6:$E$22),0)</f>
        <v>10000000</v>
      </c>
      <c r="I15" s="50" t="n">
        <f aca="false">SUMIFS('Journal Entries'!$G$6:$G$55,'Journal Entries'!$D$6:$D$55,B15)</f>
        <v>0</v>
      </c>
      <c r="J15" s="50" t="n">
        <f aca="false">SUMIFS('Journal Entries'!$H$6:$H$55,'Journal Entries'!$D$6:$D$55,B15)</f>
        <v>5000000</v>
      </c>
      <c r="K15" s="50" t="n">
        <f aca="false">MAX((G15-H15)+(I15-J15),0)</f>
        <v>0</v>
      </c>
      <c r="L15" s="50" t="n">
        <f aca="false">MAX(-((G15-H15)+(I15-J15)),0)</f>
        <v>15000000</v>
      </c>
    </row>
    <row r="16" customFormat="false" ht="15" hidden="false" customHeight="true" outlineLevel="0" collapsed="false">
      <c r="B16" s="36" t="n">
        <f aca="false">'Chart of Accounts'!B16</f>
        <v>2100</v>
      </c>
      <c r="C16" s="36" t="str">
        <f aca="false">'Chart of Accounts'!C16</f>
        <v>Accounts Payable</v>
      </c>
      <c r="D16" s="36" t="str">
        <f aca="false">'Chart of Accounts'!D16</f>
        <v>BS</v>
      </c>
      <c r="E16" s="36" t="str">
        <f aca="false">'Chart of Accounts'!E16</f>
        <v>Liability</v>
      </c>
      <c r="F16" s="36" t="str">
        <f aca="false">'Chart of Accounts'!H16</f>
        <v>Operating</v>
      </c>
      <c r="G16" s="47" t="n">
        <f aca="false">IFERROR(SUMIF('Opening Balances'!$B$6:$B$22,B16,'Opening Balances'!$D$6:$D$22),0)</f>
        <v>0</v>
      </c>
      <c r="H16" s="47" t="n">
        <f aca="false">IFERROR(SUMIF('Opening Balances'!$B$6:$B$22,B16,'Opening Balances'!$E$6:$E$22),0)</f>
        <v>150000000</v>
      </c>
      <c r="I16" s="48" t="n">
        <f aca="false">SUMIFS('Journal Entries'!$G$6:$G$55,'Journal Entries'!$D$6:$D$55,B16)</f>
        <v>250000000</v>
      </c>
      <c r="J16" s="48" t="n">
        <f aca="false">SUMIFS('Journal Entries'!$H$6:$H$55,'Journal Entries'!$D$6:$D$55,B16)</f>
        <v>300000000</v>
      </c>
      <c r="K16" s="48" t="n">
        <f aca="false">MAX((G16-H16)+(I16-J16),0)</f>
        <v>0</v>
      </c>
      <c r="L16" s="48" t="n">
        <f aca="false">MAX(-((G16-H16)+(I16-J16)),0)</f>
        <v>200000000</v>
      </c>
    </row>
    <row r="17" customFormat="false" ht="15" hidden="false" customHeight="true" outlineLevel="0" collapsed="false">
      <c r="B17" s="39" t="n">
        <f aca="false">'Chart of Accounts'!B17</f>
        <v>2110</v>
      </c>
      <c r="C17" s="39" t="str">
        <f aca="false">'Chart of Accounts'!C17</f>
        <v>Accrued Expenses</v>
      </c>
      <c r="D17" s="39" t="str">
        <f aca="false">'Chart of Accounts'!D17</f>
        <v>BS</v>
      </c>
      <c r="E17" s="39" t="str">
        <f aca="false">'Chart of Accounts'!E17</f>
        <v>Liability</v>
      </c>
      <c r="F17" s="39" t="str">
        <f aca="false">'Chart of Accounts'!H17</f>
        <v>Operating</v>
      </c>
      <c r="G17" s="49" t="n">
        <f aca="false">IFERROR(SUMIF('Opening Balances'!$B$6:$B$22,B17,'Opening Balances'!$D$6:$D$22),0)</f>
        <v>0</v>
      </c>
      <c r="H17" s="49" t="n">
        <f aca="false">IFERROR(SUMIF('Opening Balances'!$B$6:$B$22,B17,'Opening Balances'!$E$6:$E$22),0)</f>
        <v>30000000</v>
      </c>
      <c r="I17" s="50" t="n">
        <f aca="false">SUMIFS('Journal Entries'!$G$6:$G$55,'Journal Entries'!$D$6:$D$55,B17)</f>
        <v>0</v>
      </c>
      <c r="J17" s="50" t="n">
        <f aca="false">SUMIFS('Journal Entries'!$H$6:$H$55,'Journal Entries'!$D$6:$D$55,B17)</f>
        <v>15000000</v>
      </c>
      <c r="K17" s="50" t="n">
        <f aca="false">MAX((G17-H17)+(I17-J17),0)</f>
        <v>0</v>
      </c>
      <c r="L17" s="50" t="n">
        <f aca="false">MAX(-((G17-H17)+(I17-J17)),0)</f>
        <v>45000000</v>
      </c>
    </row>
    <row r="18" customFormat="false" ht="15" hidden="false" customHeight="true" outlineLevel="0" collapsed="false">
      <c r="B18" s="36" t="n">
        <f aca="false">'Chart of Accounts'!B18</f>
        <v>2120</v>
      </c>
      <c r="C18" s="36" t="str">
        <f aca="false">'Chart of Accounts'!C18</f>
        <v>Short-Term Loan</v>
      </c>
      <c r="D18" s="36" t="str">
        <f aca="false">'Chart of Accounts'!D18</f>
        <v>BS</v>
      </c>
      <c r="E18" s="36" t="str">
        <f aca="false">'Chart of Accounts'!E18</f>
        <v>Liability</v>
      </c>
      <c r="F18" s="36" t="str">
        <f aca="false">'Chart of Accounts'!H18</f>
        <v>Financing</v>
      </c>
      <c r="G18" s="47" t="n">
        <f aca="false">IFERROR(SUMIF('Opening Balances'!$B$6:$B$22,B18,'Opening Balances'!$D$6:$D$22),0)</f>
        <v>0</v>
      </c>
      <c r="H18" s="47" t="n">
        <f aca="false">IFERROR(SUMIF('Opening Balances'!$B$6:$B$22,B18,'Opening Balances'!$E$6:$E$22),0)</f>
        <v>40000000</v>
      </c>
      <c r="I18" s="48" t="n">
        <f aca="false">SUMIFS('Journal Entries'!$G$6:$G$55,'Journal Entries'!$D$6:$D$55,B18)</f>
        <v>0</v>
      </c>
      <c r="J18" s="48" t="n">
        <f aca="false">SUMIFS('Journal Entries'!$H$6:$H$55,'Journal Entries'!$D$6:$D$55,B18)</f>
        <v>20000000</v>
      </c>
      <c r="K18" s="48" t="n">
        <f aca="false">MAX((G18-H18)+(I18-J18),0)</f>
        <v>0</v>
      </c>
      <c r="L18" s="48" t="n">
        <f aca="false">MAX(-((G18-H18)+(I18-J18)),0)</f>
        <v>60000000</v>
      </c>
    </row>
    <row r="19" customFormat="false" ht="15" hidden="false" customHeight="true" outlineLevel="0" collapsed="false">
      <c r="B19" s="39" t="n">
        <f aca="false">'Chart of Accounts'!B19</f>
        <v>2130</v>
      </c>
      <c r="C19" s="39" t="str">
        <f aca="false">'Chart of Accounts'!C19</f>
        <v>Tax Payable</v>
      </c>
      <c r="D19" s="39" t="str">
        <f aca="false">'Chart of Accounts'!D19</f>
        <v>BS</v>
      </c>
      <c r="E19" s="39" t="str">
        <f aca="false">'Chart of Accounts'!E19</f>
        <v>Liability</v>
      </c>
      <c r="F19" s="39" t="str">
        <f aca="false">'Chart of Accounts'!H19</f>
        <v>Operating</v>
      </c>
      <c r="G19" s="49" t="n">
        <f aca="false">IFERROR(SUMIF('Opening Balances'!$B$6:$B$22,B19,'Opening Balances'!$D$6:$D$22),0)</f>
        <v>0</v>
      </c>
      <c r="H19" s="49" t="n">
        <f aca="false">IFERROR(SUMIF('Opening Balances'!$B$6:$B$22,B19,'Opening Balances'!$E$6:$E$22),0)</f>
        <v>15000000</v>
      </c>
      <c r="I19" s="50" t="n">
        <f aca="false">SUMIFS('Journal Entries'!$G$6:$G$55,'Journal Entries'!$D$6:$D$55,B19)</f>
        <v>8000000</v>
      </c>
      <c r="J19" s="50" t="n">
        <f aca="false">SUMIFS('Journal Entries'!$H$6:$H$55,'Journal Entries'!$D$6:$D$55,B19)</f>
        <v>10000000</v>
      </c>
      <c r="K19" s="50" t="n">
        <f aca="false">MAX((G19-H19)+(I19-J19),0)</f>
        <v>0</v>
      </c>
      <c r="L19" s="50" t="n">
        <f aca="false">MAX(-((G19-H19)+(I19-J19)),0)</f>
        <v>17000000</v>
      </c>
    </row>
    <row r="20" customFormat="false" ht="15" hidden="false" customHeight="true" outlineLevel="0" collapsed="false">
      <c r="B20" s="36" t="n">
        <f aca="false">'Chart of Accounts'!B20</f>
        <v>3000</v>
      </c>
      <c r="C20" s="36" t="str">
        <f aca="false">'Chart of Accounts'!C20</f>
        <v>Share Capital</v>
      </c>
      <c r="D20" s="36" t="str">
        <f aca="false">'Chart of Accounts'!D20</f>
        <v>BS</v>
      </c>
      <c r="E20" s="36" t="str">
        <f aca="false">'Chart of Accounts'!E20</f>
        <v>Equity</v>
      </c>
      <c r="F20" s="36" t="str">
        <f aca="false">'Chart of Accounts'!H20</f>
        <v>Financing</v>
      </c>
      <c r="G20" s="47" t="n">
        <f aca="false">IFERROR(SUMIF('Opening Balances'!$B$6:$B$22,B20,'Opening Balances'!$D$6:$D$22),0)</f>
        <v>0</v>
      </c>
      <c r="H20" s="47" t="n">
        <f aca="false">IFERROR(SUMIF('Opening Balances'!$B$6:$B$22,B20,'Opening Balances'!$E$6:$E$22),0)</f>
        <v>400000000</v>
      </c>
      <c r="I20" s="48" t="n">
        <f aca="false">SUMIFS('Journal Entries'!$G$6:$G$55,'Journal Entries'!$D$6:$D$55,B20)</f>
        <v>0</v>
      </c>
      <c r="J20" s="48" t="n">
        <f aca="false">SUMIFS('Journal Entries'!$H$6:$H$55,'Journal Entries'!$D$6:$D$55,B20)</f>
        <v>10000000</v>
      </c>
      <c r="K20" s="48" t="n">
        <f aca="false">MAX((G20-H20)+(I20-J20),0)</f>
        <v>0</v>
      </c>
      <c r="L20" s="48" t="n">
        <f aca="false">MAX(-((G20-H20)+(I20-J20)),0)</f>
        <v>410000000</v>
      </c>
    </row>
    <row r="21" customFormat="false" ht="15" hidden="false" customHeight="true" outlineLevel="0" collapsed="false">
      <c r="B21" s="39" t="n">
        <f aca="false">'Chart of Accounts'!B21</f>
        <v>3010</v>
      </c>
      <c r="C21" s="39" t="str">
        <f aca="false">'Chart of Accounts'!C21</f>
        <v>Retained Earnings</v>
      </c>
      <c r="D21" s="39" t="str">
        <f aca="false">'Chart of Accounts'!D21</f>
        <v>BS</v>
      </c>
      <c r="E21" s="39" t="str">
        <f aca="false">'Chart of Accounts'!E21</f>
        <v>Equity</v>
      </c>
      <c r="F21" s="39" t="str">
        <f aca="false">'Chart of Accounts'!H21</f>
        <v>Financing</v>
      </c>
      <c r="G21" s="49" t="n">
        <f aca="false">IFERROR(SUMIF('Opening Balances'!$B$6:$B$22,B21,'Opening Balances'!$D$6:$D$22),0)</f>
        <v>0</v>
      </c>
      <c r="H21" s="49" t="n">
        <f aca="false">IFERROR(SUMIF('Opening Balances'!$B$6:$B$22,B21,'Opening Balances'!$E$6:$E$22),0)</f>
        <v>275000000</v>
      </c>
      <c r="I21" s="50" t="n">
        <f aca="false">SUMIFS('Journal Entries'!$G$6:$G$55,'Journal Entries'!$D$6:$D$55,B21)</f>
        <v>50000000</v>
      </c>
      <c r="J21" s="50" t="n">
        <f aca="false">SUMIFS('Journal Entries'!$H$6:$H$55,'Journal Entries'!$D$6:$D$55,B21)</f>
        <v>0</v>
      </c>
      <c r="K21" s="50" t="n">
        <f aca="false">MAX((G21-H21)+(I21-J21),0)</f>
        <v>0</v>
      </c>
      <c r="L21" s="50" t="n">
        <f aca="false">MAX(-((G21-H21)+(I21-J21)),0)</f>
        <v>225000000</v>
      </c>
    </row>
    <row r="22" customFormat="false" ht="15" hidden="false" customHeight="true" outlineLevel="0" collapsed="false">
      <c r="B22" s="36" t="n">
        <f aca="false">'Chart of Accounts'!B22</f>
        <v>3020</v>
      </c>
      <c r="C22" s="36" t="str">
        <f aca="false">'Chart of Accounts'!C22</f>
        <v>Revaluation Reserve</v>
      </c>
      <c r="D22" s="36" t="str">
        <f aca="false">'Chart of Accounts'!D22</f>
        <v>BS</v>
      </c>
      <c r="E22" s="36" t="str">
        <f aca="false">'Chart of Accounts'!E22</f>
        <v>Equity</v>
      </c>
      <c r="F22" s="36" t="str">
        <f aca="false">'Chart of Accounts'!H22</f>
        <v>Financing</v>
      </c>
      <c r="G22" s="47" t="n">
        <f aca="false">IFERROR(SUMIF('Opening Balances'!$B$6:$B$22,B22,'Opening Balances'!$D$6:$D$22),0)</f>
        <v>0</v>
      </c>
      <c r="H22" s="47" t="n">
        <f aca="false">IFERROR(SUMIF('Opening Balances'!$B$6:$B$22,B22,'Opening Balances'!$E$6:$E$22),0)</f>
        <v>50000000</v>
      </c>
      <c r="I22" s="48" t="n">
        <f aca="false">SUMIFS('Journal Entries'!$G$6:$G$55,'Journal Entries'!$D$6:$D$55,B22)</f>
        <v>0</v>
      </c>
      <c r="J22" s="48" t="n">
        <f aca="false">SUMIFS('Journal Entries'!$H$6:$H$55,'Journal Entries'!$D$6:$D$55,B22)</f>
        <v>0</v>
      </c>
      <c r="K22" s="48" t="n">
        <f aca="false">MAX((G22-H22)+(I22-J22),0)</f>
        <v>0</v>
      </c>
      <c r="L22" s="48" t="n">
        <f aca="false">MAX(-((G22-H22)+(I22-J22)),0)</f>
        <v>50000000</v>
      </c>
    </row>
    <row r="23" customFormat="false" ht="15" hidden="false" customHeight="true" outlineLevel="0" collapsed="false">
      <c r="B23" s="39" t="n">
        <f aca="false">'Chart of Accounts'!B23</f>
        <v>4000</v>
      </c>
      <c r="C23" s="39" t="str">
        <f aca="false">'Chart of Accounts'!C23</f>
        <v>Sales Revenue</v>
      </c>
      <c r="D23" s="39" t="str">
        <f aca="false">'Chart of Accounts'!D23</f>
        <v>PL</v>
      </c>
      <c r="E23" s="39" t="str">
        <f aca="false">'Chart of Accounts'!E23</f>
        <v>Revenue</v>
      </c>
      <c r="F23" s="39" t="str">
        <f aca="false">'Chart of Accounts'!H23</f>
        <v>Operating</v>
      </c>
      <c r="G23" s="49" t="n">
        <f aca="false">IFERROR(SUMIF('Opening Balances'!$B$6:$B$22,B23,'Opening Balances'!$D$6:$D$22),0)</f>
        <v>0</v>
      </c>
      <c r="H23" s="49" t="n">
        <f aca="false">IFERROR(SUMIF('Opening Balances'!$B$6:$B$22,B23,'Opening Balances'!$E$6:$E$22),0)</f>
        <v>0</v>
      </c>
      <c r="I23" s="50" t="n">
        <f aca="false">SUMIFS('Journal Entries'!$G$6:$G$55,'Journal Entries'!$D$6:$D$55,B23)</f>
        <v>0</v>
      </c>
      <c r="J23" s="50" t="n">
        <f aca="false">SUMIFS('Journal Entries'!$H$6:$H$55,'Journal Entries'!$D$6:$D$55,B23)</f>
        <v>650000000</v>
      </c>
      <c r="K23" s="50" t="n">
        <f aca="false">MAX((G23-H23)+(I23-J23),0)</f>
        <v>0</v>
      </c>
      <c r="L23" s="50" t="n">
        <f aca="false">MAX(-((G23-H23)+(I23-J23)),0)</f>
        <v>650000000</v>
      </c>
    </row>
    <row r="24" customFormat="false" ht="15" hidden="false" customHeight="true" outlineLevel="0" collapsed="false">
      <c r="B24" s="36" t="n">
        <f aca="false">'Chart of Accounts'!B24</f>
        <v>4010</v>
      </c>
      <c r="C24" s="36" t="str">
        <f aca="false">'Chart of Accounts'!C24</f>
        <v>Other Income</v>
      </c>
      <c r="D24" s="36" t="str">
        <f aca="false">'Chart of Accounts'!D24</f>
        <v>PL</v>
      </c>
      <c r="E24" s="36" t="str">
        <f aca="false">'Chart of Accounts'!E24</f>
        <v>Revenue</v>
      </c>
      <c r="F24" s="36" t="str">
        <f aca="false">'Chart of Accounts'!H24</f>
        <v>Operating</v>
      </c>
      <c r="G24" s="47" t="n">
        <f aca="false">IFERROR(SUMIF('Opening Balances'!$B$6:$B$22,B24,'Opening Balances'!$D$6:$D$22),0)</f>
        <v>0</v>
      </c>
      <c r="H24" s="47" t="n">
        <f aca="false">IFERROR(SUMIF('Opening Balances'!$B$6:$B$22,B24,'Opening Balances'!$E$6:$E$22),0)</f>
        <v>0</v>
      </c>
      <c r="I24" s="48" t="n">
        <f aca="false">SUMIFS('Journal Entries'!$G$6:$G$55,'Journal Entries'!$D$6:$D$55,B24)</f>
        <v>0</v>
      </c>
      <c r="J24" s="48" t="n">
        <f aca="false">SUMIFS('Journal Entries'!$H$6:$H$55,'Journal Entries'!$D$6:$D$55,B24)</f>
        <v>8000000</v>
      </c>
      <c r="K24" s="48" t="n">
        <f aca="false">MAX((G24-H24)+(I24-J24),0)</f>
        <v>0</v>
      </c>
      <c r="L24" s="48" t="n">
        <f aca="false">MAX(-((G24-H24)+(I24-J24)),0)</f>
        <v>8000000</v>
      </c>
    </row>
    <row r="25" customFormat="false" ht="15" hidden="false" customHeight="true" outlineLevel="0" collapsed="false">
      <c r="B25" s="39" t="n">
        <f aca="false">'Chart of Accounts'!B25</f>
        <v>5000</v>
      </c>
      <c r="C25" s="39" t="str">
        <f aca="false">'Chart of Accounts'!C25</f>
        <v>Cost of Goods Sold</v>
      </c>
      <c r="D25" s="39" t="str">
        <f aca="false">'Chart of Accounts'!D25</f>
        <v>PL</v>
      </c>
      <c r="E25" s="39" t="str">
        <f aca="false">'Chart of Accounts'!E25</f>
        <v>Expense</v>
      </c>
      <c r="F25" s="39" t="str">
        <f aca="false">'Chart of Accounts'!H25</f>
        <v>Operating</v>
      </c>
      <c r="G25" s="49" t="n">
        <f aca="false">IFERROR(SUMIF('Opening Balances'!$B$6:$B$22,B25,'Opening Balances'!$D$6:$D$22),0)</f>
        <v>0</v>
      </c>
      <c r="H25" s="49" t="n">
        <f aca="false">IFERROR(SUMIF('Opening Balances'!$B$6:$B$22,B25,'Opening Balances'!$E$6:$E$22),0)</f>
        <v>0</v>
      </c>
      <c r="I25" s="50" t="n">
        <f aca="false">SUMIFS('Journal Entries'!$G$6:$G$55,'Journal Entries'!$D$6:$D$55,B25)</f>
        <v>380000000</v>
      </c>
      <c r="J25" s="50" t="n">
        <f aca="false">SUMIFS('Journal Entries'!$H$6:$H$55,'Journal Entries'!$D$6:$D$55,B25)</f>
        <v>0</v>
      </c>
      <c r="K25" s="50" t="n">
        <f aca="false">MAX((G25-H25)+(I25-J25),0)</f>
        <v>380000000</v>
      </c>
      <c r="L25" s="50" t="n">
        <f aca="false">MAX(-((G25-H25)+(I25-J25)),0)</f>
        <v>0</v>
      </c>
    </row>
    <row r="26" customFormat="false" ht="15" hidden="false" customHeight="true" outlineLevel="0" collapsed="false">
      <c r="B26" s="36" t="n">
        <f aca="false">'Chart of Accounts'!B26</f>
        <v>5010</v>
      </c>
      <c r="C26" s="36" t="str">
        <f aca="false">'Chart of Accounts'!C26</f>
        <v>Salaries &amp; Wages</v>
      </c>
      <c r="D26" s="36" t="str">
        <f aca="false">'Chart of Accounts'!D26</f>
        <v>PL</v>
      </c>
      <c r="E26" s="36" t="str">
        <f aca="false">'Chart of Accounts'!E26</f>
        <v>Expense</v>
      </c>
      <c r="F26" s="36" t="str">
        <f aca="false">'Chart of Accounts'!H26</f>
        <v>Operating</v>
      </c>
      <c r="G26" s="47" t="n">
        <f aca="false">IFERROR(SUMIF('Opening Balances'!$B$6:$B$22,B26,'Opening Balances'!$D$6:$D$22),0)</f>
        <v>0</v>
      </c>
      <c r="H26" s="47" t="n">
        <f aca="false">IFERROR(SUMIF('Opening Balances'!$B$6:$B$22,B26,'Opening Balances'!$E$6:$E$22),0)</f>
        <v>0</v>
      </c>
      <c r="I26" s="48" t="n">
        <f aca="false">SUMIFS('Journal Entries'!$G$6:$G$55,'Journal Entries'!$D$6:$D$55,B26)</f>
        <v>90000000</v>
      </c>
      <c r="J26" s="48" t="n">
        <f aca="false">SUMIFS('Journal Entries'!$H$6:$H$55,'Journal Entries'!$D$6:$D$55,B26)</f>
        <v>0</v>
      </c>
      <c r="K26" s="48" t="n">
        <f aca="false">MAX((G26-H26)+(I26-J26),0)</f>
        <v>90000000</v>
      </c>
      <c r="L26" s="48" t="n">
        <f aca="false">MAX(-((G26-H26)+(I26-J26)),0)</f>
        <v>0</v>
      </c>
    </row>
    <row r="27" customFormat="false" ht="15" hidden="false" customHeight="true" outlineLevel="0" collapsed="false">
      <c r="B27" s="39" t="n">
        <f aca="false">'Chart of Accounts'!B27</f>
        <v>5020</v>
      </c>
      <c r="C27" s="39" t="str">
        <f aca="false">'Chart of Accounts'!C27</f>
        <v>Rent Expense</v>
      </c>
      <c r="D27" s="39" t="str">
        <f aca="false">'Chart of Accounts'!D27</f>
        <v>PL</v>
      </c>
      <c r="E27" s="39" t="str">
        <f aca="false">'Chart of Accounts'!E27</f>
        <v>Expense</v>
      </c>
      <c r="F27" s="39" t="str">
        <f aca="false">'Chart of Accounts'!H27</f>
        <v>Operating</v>
      </c>
      <c r="G27" s="49" t="n">
        <f aca="false">IFERROR(SUMIF('Opening Balances'!$B$6:$B$22,B27,'Opening Balances'!$D$6:$D$22),0)</f>
        <v>0</v>
      </c>
      <c r="H27" s="49" t="n">
        <f aca="false">IFERROR(SUMIF('Opening Balances'!$B$6:$B$22,B27,'Opening Balances'!$E$6:$E$22),0)</f>
        <v>0</v>
      </c>
      <c r="I27" s="50" t="n">
        <f aca="false">SUMIFS('Journal Entries'!$G$6:$G$55,'Journal Entries'!$D$6:$D$55,B27)</f>
        <v>12000000</v>
      </c>
      <c r="J27" s="50" t="n">
        <f aca="false">SUMIFS('Journal Entries'!$H$6:$H$55,'Journal Entries'!$D$6:$D$55,B27)</f>
        <v>0</v>
      </c>
      <c r="K27" s="50" t="n">
        <f aca="false">MAX((G27-H27)+(I27-J27),0)</f>
        <v>12000000</v>
      </c>
      <c r="L27" s="50" t="n">
        <f aca="false">MAX(-((G27-H27)+(I27-J27)),0)</f>
        <v>0</v>
      </c>
    </row>
    <row r="28" customFormat="false" ht="15" hidden="false" customHeight="true" outlineLevel="0" collapsed="false">
      <c r="B28" s="36" t="n">
        <f aca="false">'Chart of Accounts'!B28</f>
        <v>5030</v>
      </c>
      <c r="C28" s="36" t="str">
        <f aca="false">'Chart of Accounts'!C28</f>
        <v>Depreciation Expense</v>
      </c>
      <c r="D28" s="36" t="str">
        <f aca="false">'Chart of Accounts'!D28</f>
        <v>PL</v>
      </c>
      <c r="E28" s="36" t="str">
        <f aca="false">'Chart of Accounts'!E28</f>
        <v>Expense</v>
      </c>
      <c r="F28" s="36" t="str">
        <f aca="false">'Chart of Accounts'!H28</f>
        <v>Non-Cash</v>
      </c>
      <c r="G28" s="47" t="n">
        <f aca="false">IFERROR(SUMIF('Opening Balances'!$B$6:$B$22,B28,'Opening Balances'!$D$6:$D$22),0)</f>
        <v>0</v>
      </c>
      <c r="H28" s="47" t="n">
        <f aca="false">IFERROR(SUMIF('Opening Balances'!$B$6:$B$22,B28,'Opening Balances'!$E$6:$E$22),0)</f>
        <v>0</v>
      </c>
      <c r="I28" s="48" t="n">
        <f aca="false">SUMIFS('Journal Entries'!$G$6:$G$55,'Journal Entries'!$D$6:$D$55,B28)</f>
        <v>79522592</v>
      </c>
      <c r="J28" s="48" t="n">
        <f aca="false">SUMIFS('Journal Entries'!$H$6:$H$55,'Journal Entries'!$D$6:$D$55,B28)</f>
        <v>0</v>
      </c>
      <c r="K28" s="48" t="n">
        <f aca="false">MAX((G28-H28)+(I28-J28),0)</f>
        <v>79522592</v>
      </c>
      <c r="L28" s="48" t="n">
        <f aca="false">MAX(-((G28-H28)+(I28-J28)),0)</f>
        <v>0</v>
      </c>
    </row>
    <row r="29" customFormat="false" ht="15" hidden="false" customHeight="true" outlineLevel="0" collapsed="false">
      <c r="B29" s="39" t="n">
        <f aca="false">'Chart of Accounts'!B29</f>
        <v>5040</v>
      </c>
      <c r="C29" s="39" t="str">
        <f aca="false">'Chart of Accounts'!C29</f>
        <v>Utilities Expense</v>
      </c>
      <c r="D29" s="39" t="str">
        <f aca="false">'Chart of Accounts'!D29</f>
        <v>PL</v>
      </c>
      <c r="E29" s="39" t="str">
        <f aca="false">'Chart of Accounts'!E29</f>
        <v>Expense</v>
      </c>
      <c r="F29" s="39" t="str">
        <f aca="false">'Chart of Accounts'!H29</f>
        <v>Operating</v>
      </c>
      <c r="G29" s="49" t="n">
        <f aca="false">IFERROR(SUMIF('Opening Balances'!$B$6:$B$22,B29,'Opening Balances'!$D$6:$D$22),0)</f>
        <v>0</v>
      </c>
      <c r="H29" s="49" t="n">
        <f aca="false">IFERROR(SUMIF('Opening Balances'!$B$6:$B$22,B29,'Opening Balances'!$E$6:$E$22),0)</f>
        <v>0</v>
      </c>
      <c r="I29" s="50" t="n">
        <f aca="false">SUMIFS('Journal Entries'!$G$6:$G$55,'Journal Entries'!$D$6:$D$55,B29)</f>
        <v>6000000</v>
      </c>
      <c r="J29" s="50" t="n">
        <f aca="false">SUMIFS('Journal Entries'!$H$6:$H$55,'Journal Entries'!$D$6:$D$55,B29)</f>
        <v>0</v>
      </c>
      <c r="K29" s="50" t="n">
        <f aca="false">MAX((G29-H29)+(I29-J29),0)</f>
        <v>6000000</v>
      </c>
      <c r="L29" s="50" t="n">
        <f aca="false">MAX(-((G29-H29)+(I29-J29)),0)</f>
        <v>0</v>
      </c>
    </row>
    <row r="30" customFormat="false" ht="15" hidden="false" customHeight="true" outlineLevel="0" collapsed="false">
      <c r="B30" s="36" t="n">
        <f aca="false">'Chart of Accounts'!B30</f>
        <v>5050</v>
      </c>
      <c r="C30" s="36" t="str">
        <f aca="false">'Chart of Accounts'!C30</f>
        <v>Office &amp; Admin Expense</v>
      </c>
      <c r="D30" s="36" t="str">
        <f aca="false">'Chart of Accounts'!D30</f>
        <v>PL</v>
      </c>
      <c r="E30" s="36" t="str">
        <f aca="false">'Chart of Accounts'!E30</f>
        <v>Expense</v>
      </c>
      <c r="F30" s="36" t="str">
        <f aca="false">'Chart of Accounts'!H30</f>
        <v>Operating</v>
      </c>
      <c r="G30" s="47" t="n">
        <f aca="false">IFERROR(SUMIF('Opening Balances'!$B$6:$B$22,B30,'Opening Balances'!$D$6:$D$22),0)</f>
        <v>0</v>
      </c>
      <c r="H30" s="47" t="n">
        <f aca="false">IFERROR(SUMIF('Opening Balances'!$B$6:$B$22,B30,'Opening Balances'!$E$6:$E$22),0)</f>
        <v>0</v>
      </c>
      <c r="I30" s="48" t="n">
        <f aca="false">SUMIFS('Journal Entries'!$G$6:$G$55,'Journal Entries'!$D$6:$D$55,B30)</f>
        <v>33000000</v>
      </c>
      <c r="J30" s="48" t="n">
        <f aca="false">SUMIFS('Journal Entries'!$H$6:$H$55,'Journal Entries'!$D$6:$D$55,B30)</f>
        <v>0</v>
      </c>
      <c r="K30" s="48" t="n">
        <f aca="false">MAX((G30-H30)+(I30-J30),0)</f>
        <v>33000000</v>
      </c>
      <c r="L30" s="48" t="n">
        <f aca="false">MAX(-((G30-H30)+(I30-J30)),0)</f>
        <v>0</v>
      </c>
    </row>
    <row r="31" customFormat="false" ht="15" hidden="false" customHeight="true" outlineLevel="0" collapsed="false">
      <c r="B31" s="39" t="n">
        <f aca="false">'Chart of Accounts'!B31</f>
        <v>5060</v>
      </c>
      <c r="C31" s="39" t="str">
        <f aca="false">'Chart of Accounts'!C31</f>
        <v>Interest Expense</v>
      </c>
      <c r="D31" s="39" t="str">
        <f aca="false">'Chart of Accounts'!D31</f>
        <v>PL</v>
      </c>
      <c r="E31" s="39" t="str">
        <f aca="false">'Chart of Accounts'!E31</f>
        <v>Expense</v>
      </c>
      <c r="F31" s="39" t="str">
        <f aca="false">'Chart of Accounts'!H31</f>
        <v>Financing</v>
      </c>
      <c r="G31" s="49" t="n">
        <f aca="false">IFERROR(SUMIF('Opening Balances'!$B$6:$B$22,B31,'Opening Balances'!$D$6:$D$22),0)</f>
        <v>0</v>
      </c>
      <c r="H31" s="49" t="n">
        <f aca="false">IFERROR(SUMIF('Opening Balances'!$B$6:$B$22,B31,'Opening Balances'!$E$6:$E$22),0)</f>
        <v>0</v>
      </c>
      <c r="I31" s="50" t="n">
        <f aca="false">SUMIFS('Journal Entries'!$G$6:$G$55,'Journal Entries'!$D$6:$D$55,B31)</f>
        <v>25000000</v>
      </c>
      <c r="J31" s="50" t="n">
        <f aca="false">SUMIFS('Journal Entries'!$H$6:$H$55,'Journal Entries'!$D$6:$D$55,B31)</f>
        <v>0</v>
      </c>
      <c r="K31" s="50" t="n">
        <f aca="false">MAX((G31-H31)+(I31-J31),0)</f>
        <v>25000000</v>
      </c>
      <c r="L31" s="50" t="n">
        <f aca="false">MAX(-((G31-H31)+(I31-J31)),0)</f>
        <v>0</v>
      </c>
    </row>
    <row r="32" customFormat="false" ht="15" hidden="false" customHeight="true" outlineLevel="0" collapsed="false">
      <c r="B32" s="36" t="n">
        <f aca="false">'Chart of Accounts'!B32</f>
        <v>5070</v>
      </c>
      <c r="C32" s="36" t="str">
        <f aca="false">'Chart of Accounts'!C32</f>
        <v>Tax Expense</v>
      </c>
      <c r="D32" s="36" t="str">
        <f aca="false">'Chart of Accounts'!D32</f>
        <v>PL</v>
      </c>
      <c r="E32" s="36" t="str">
        <f aca="false">'Chart of Accounts'!E32</f>
        <v>Expense</v>
      </c>
      <c r="F32" s="36" t="str">
        <f aca="false">'Chart of Accounts'!H32</f>
        <v>Operating</v>
      </c>
      <c r="G32" s="47" t="n">
        <f aca="false">IFERROR(SUMIF('Opening Balances'!$B$6:$B$22,B32,'Opening Balances'!$D$6:$D$22),0)</f>
        <v>0</v>
      </c>
      <c r="H32" s="47" t="n">
        <f aca="false">IFERROR(SUMIF('Opening Balances'!$B$6:$B$22,B32,'Opening Balances'!$E$6:$E$22),0)</f>
        <v>0</v>
      </c>
      <c r="I32" s="48" t="n">
        <f aca="false">SUMIFS('Journal Entries'!$G$6:$G$55,'Journal Entries'!$D$6:$D$55,B32)</f>
        <v>15000000</v>
      </c>
      <c r="J32" s="48" t="n">
        <f aca="false">SUMIFS('Journal Entries'!$H$6:$H$55,'Journal Entries'!$D$6:$D$55,B32)</f>
        <v>0</v>
      </c>
      <c r="K32" s="48" t="n">
        <f aca="false">MAX((G32-H32)+(I32-J32),0)</f>
        <v>15000000</v>
      </c>
      <c r="L32" s="48" t="n">
        <f aca="false">MAX(-((G32-H32)+(I32-J32)),0)</f>
        <v>0</v>
      </c>
    </row>
    <row r="33" customFormat="false" ht="15" hidden="false" customHeight="true" outlineLevel="0" collapsed="false">
      <c r="C33" s="45" t="s">
        <v>184</v>
      </c>
      <c r="G33" s="46" t="n">
        <f aca="false">SUM(G6:G32)</f>
        <v>1270000000</v>
      </c>
      <c r="H33" s="46" t="n">
        <f aca="false">SUM(H6:H32)</f>
        <v>1270000000</v>
      </c>
      <c r="I33" s="46" t="n">
        <f aca="false">SUM(I6:I32)</f>
        <v>2786522592</v>
      </c>
      <c r="J33" s="46" t="n">
        <f aca="false">SUM(J6:J32)</f>
        <v>2786522592</v>
      </c>
      <c r="K33" s="46" t="n">
        <f aca="false">SUM(K6:K32)</f>
        <v>1959522592</v>
      </c>
      <c r="L33" s="46" t="n">
        <f aca="false">SUM(L6:L32)</f>
        <v>1959522592</v>
      </c>
    </row>
    <row r="34" customFormat="false" ht="15" hidden="false" customHeight="true" outlineLevel="0" collapsed="false">
      <c r="C34" s="41" t="s">
        <v>185</v>
      </c>
      <c r="D34" s="41"/>
      <c r="E34" s="41"/>
      <c r="F34" s="41"/>
      <c r="G34" s="41"/>
      <c r="H34" s="41"/>
      <c r="I34" s="41"/>
      <c r="K34" s="42" t="str">
        <f aca="false">IF(ROUND(K33-L33,2)=0,"TRUE","CHECK!")</f>
        <v>TRUE</v>
      </c>
    </row>
  </sheetData>
  <mergeCells count="1">
    <mergeCell ref="C34:I34"/>
  </mergeCells>
  <conditionalFormatting sqref="K34">
    <cfRule type="expression" priority="2" aboveAverage="0" equalAverage="0" bottom="0" percent="0" rank="0" text="" dxfId="0">
      <formula>K34="TRUE"</formula>
    </cfRule>
    <cfRule type="expression" priority="3" aboveAverage="0" equalAverage="0" bottom="0" percent="0" rank="0" text="" dxfId="1">
      <formula>K34&lt;&gt;"TRUE"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8"/>
    <col collapsed="false" customWidth="true" hidden="false" outlineLevel="0" max="5" min="4" style="1" width="20"/>
    <col collapsed="false" customWidth="true" hidden="false" outlineLevel="0" max="6" min="6" style="1" width="4"/>
  </cols>
  <sheetData>
    <row r="2" customFormat="false" ht="18" hidden="false" customHeight="true" outlineLevel="0" collapsed="false">
      <c r="B2" s="51" t="s">
        <v>0</v>
      </c>
    </row>
    <row r="3" customFormat="false" ht="15" hidden="false" customHeight="true" outlineLevel="0" collapsed="false">
      <c r="B3" s="52" t="s">
        <v>1</v>
      </c>
    </row>
    <row r="4" customFormat="false" ht="15" hidden="false" customHeight="true" outlineLevel="0" collapsed="false">
      <c r="B4" s="24" t="s">
        <v>186</v>
      </c>
    </row>
    <row r="5" customFormat="false" ht="15" hidden="false" customHeight="true" outlineLevel="0" collapsed="false">
      <c r="B5" s="53" t="s">
        <v>187</v>
      </c>
    </row>
    <row r="7" customFormat="false" ht="15" hidden="false" customHeight="true" outlineLevel="0" collapsed="false">
      <c r="B7" s="54" t="s">
        <v>188</v>
      </c>
      <c r="C7" s="54" t="s">
        <v>63</v>
      </c>
      <c r="D7" s="54" t="s">
        <v>189</v>
      </c>
      <c r="E7" s="54" t="s">
        <v>190</v>
      </c>
    </row>
    <row r="9" customFormat="false" ht="15" hidden="false" customHeight="true" outlineLevel="0" collapsed="false">
      <c r="B9" s="25" t="s">
        <v>191</v>
      </c>
    </row>
    <row r="10" customFormat="false" ht="15" hidden="false" customHeight="true" outlineLevel="0" collapsed="false">
      <c r="B10" s="55" t="s">
        <v>192</v>
      </c>
    </row>
    <row r="11" customFormat="false" ht="15" hidden="false" customHeight="true" outlineLevel="0" collapsed="false">
      <c r="B11" s="56" t="s">
        <v>193</v>
      </c>
      <c r="C11" s="57" t="s">
        <v>194</v>
      </c>
      <c r="D11" s="58" t="n">
        <f aca="false">('Trial Balance'!$K$6-'Trial Balance'!$L$6)-('Trial Balance'!$L$7-'Trial Balance'!$K$7)</f>
        <v>805477408</v>
      </c>
      <c r="E11" s="58" t="n">
        <f aca="false">(IFERROR(SUMIF('Opening Balances'!$B$6:$B$22,1000,'Opening Balances'!$D$6:$D$22)-SUMIF('Opening Balances'!$B$6:$B$22,1000,'Opening Balances'!$E$6:$E$22),0))-(IFERROR(SUMIF('Opening Balances'!$B$6:$B$22,1010,'Opening Balances'!$E$6:$E$22)-SUMIF('Opening Balances'!$B$6:$B$22,1010,'Opening Balances'!$D$6:$D$22),0))</f>
        <v>800000000</v>
      </c>
    </row>
    <row r="12" customFormat="false" ht="15" hidden="false" customHeight="true" outlineLevel="0" collapsed="false">
      <c r="B12" s="56" t="s">
        <v>73</v>
      </c>
      <c r="C12" s="57" t="s">
        <v>195</v>
      </c>
      <c r="D12" s="58" t="n">
        <f aca="false">('Trial Balance'!$K$8-'Trial Balance'!$L$8)</f>
        <v>90000000</v>
      </c>
      <c r="E12" s="58" t="n">
        <f aca="false">IFERROR(SUMIF('Opening Balances'!$B$6:$B$22,1020,'Opening Balances'!$D$6:$D$22)-SUMIF('Opening Balances'!$B$6:$B$22,1020,'Opening Balances'!$E$6:$E$22),0)</f>
        <v>50000000</v>
      </c>
    </row>
    <row r="13" customFormat="false" ht="15" hidden="false" customHeight="true" outlineLevel="0" collapsed="false">
      <c r="B13" s="56" t="s">
        <v>74</v>
      </c>
      <c r="C13" s="57" t="s">
        <v>196</v>
      </c>
      <c r="D13" s="58" t="n">
        <f aca="false">('Trial Balance'!$K$9-'Trial Balance'!$L$9)</f>
        <v>20000000</v>
      </c>
      <c r="E13" s="58" t="n">
        <f aca="false">IFERROR(SUMIF('Opening Balances'!$B$6:$B$22,1030,'Opening Balances'!$D$6:$D$22)-SUMIF('Opening Balances'!$B$6:$B$22,1030,'Opening Balances'!$E$6:$E$22),0)</f>
        <v>20000000</v>
      </c>
    </row>
    <row r="14" customFormat="false" ht="15" hidden="false" customHeight="true" outlineLevel="0" collapsed="false">
      <c r="B14" s="59" t="s">
        <v>197</v>
      </c>
      <c r="C14" s="60"/>
      <c r="D14" s="61" t="n">
        <f aca="false">SUM(D11:D13)</f>
        <v>915477408</v>
      </c>
      <c r="E14" s="61" t="n">
        <f aca="false">SUM(E11:E13)</f>
        <v>870000000</v>
      </c>
    </row>
    <row r="16" customFormat="false" ht="15" hidden="false" customHeight="true" outlineLevel="0" collapsed="false">
      <c r="B16" s="55" t="s">
        <v>198</v>
      </c>
    </row>
    <row r="17" customFormat="false" ht="15" hidden="false" customHeight="true" outlineLevel="0" collapsed="false">
      <c r="B17" s="56" t="s">
        <v>75</v>
      </c>
      <c r="C17" s="57" t="s">
        <v>199</v>
      </c>
      <c r="D17" s="58" t="n">
        <f aca="false">('Trial Balance'!$K$10-'Trial Balance'!$L$10)</f>
        <v>40000000</v>
      </c>
      <c r="E17" s="58" t="n">
        <f aca="false">IFERROR(SUMIF('Opening Balances'!$B$6:$B$22,1100,'Opening Balances'!$D$6:$D$22)-SUMIF('Opening Balances'!$B$6:$B$22,1100,'Opening Balances'!$E$6:$E$22),0)</f>
        <v>120000000</v>
      </c>
    </row>
    <row r="18" customFormat="false" ht="15" hidden="false" customHeight="true" outlineLevel="0" collapsed="false">
      <c r="B18" s="56" t="s">
        <v>78</v>
      </c>
      <c r="C18" s="57" t="s">
        <v>200</v>
      </c>
      <c r="D18" s="58" t="n">
        <f aca="false">('Trial Balance'!$K$11-'Trial Balance'!$L$11)</f>
        <v>80000000</v>
      </c>
      <c r="E18" s="58" t="n">
        <f aca="false">IFERROR(SUMIF('Opening Balances'!$B$6:$B$22,1110,'Opening Balances'!$D$6:$D$22)-SUMIF('Opening Balances'!$B$6:$B$22,1110,'Opening Balances'!$E$6:$E$22),0)</f>
        <v>180000000</v>
      </c>
    </row>
    <row r="19" customFormat="false" ht="15" hidden="false" customHeight="true" outlineLevel="0" collapsed="false">
      <c r="B19" s="56" t="s">
        <v>79</v>
      </c>
      <c r="C19" s="57" t="s">
        <v>201</v>
      </c>
      <c r="D19" s="58" t="n">
        <f aca="false">('Trial Balance'!$K$12-'Trial Balance'!$L$12)</f>
        <v>65000000</v>
      </c>
      <c r="E19" s="58" t="n">
        <f aca="false">IFERROR(SUMIF('Opening Balances'!$B$6:$B$22,1120,'Opening Balances'!$D$6:$D$22)-SUMIF('Opening Balances'!$B$6:$B$22,1120,'Opening Balances'!$E$6:$E$22),0)</f>
        <v>40000000</v>
      </c>
    </row>
    <row r="20" customFormat="false" ht="15" hidden="false" customHeight="true" outlineLevel="0" collapsed="false">
      <c r="B20" s="56" t="s">
        <v>80</v>
      </c>
      <c r="C20" s="57" t="s">
        <v>202</v>
      </c>
      <c r="D20" s="58" t="n">
        <f aca="false">('Trial Balance'!$K$13-'Trial Balance'!$L$13)</f>
        <v>139000000</v>
      </c>
      <c r="E20" s="58" t="n">
        <f aca="false">IFERROR(SUMIF('Opening Balances'!$B$6:$B$22,1130,'Opening Balances'!$D$6:$D$22)-SUMIF('Opening Balances'!$B$6:$B$22,1130,'Opening Balances'!$E$6:$E$22),0)</f>
        <v>60000000</v>
      </c>
    </row>
    <row r="21" customFormat="false" ht="15" hidden="false" customHeight="true" outlineLevel="0" collapsed="false">
      <c r="B21" s="59" t="s">
        <v>203</v>
      </c>
      <c r="C21" s="60"/>
      <c r="D21" s="61" t="n">
        <f aca="false">SUM(D17:D20)</f>
        <v>324000000</v>
      </c>
      <c r="E21" s="61" t="n">
        <f aca="false">SUM(E17:E20)</f>
        <v>400000000</v>
      </c>
    </row>
    <row r="23" customFormat="false" ht="15" hidden="false" customHeight="true" outlineLevel="0" collapsed="false">
      <c r="B23" s="59" t="s">
        <v>6</v>
      </c>
      <c r="C23" s="60"/>
      <c r="D23" s="61" t="n">
        <f aca="false">D14+D21</f>
        <v>1239477408</v>
      </c>
      <c r="E23" s="61" t="n">
        <f aca="false">E14+E21</f>
        <v>1270000000</v>
      </c>
    </row>
    <row r="26" customFormat="false" ht="15" hidden="false" customHeight="true" outlineLevel="0" collapsed="false">
      <c r="B26" s="25" t="s">
        <v>204</v>
      </c>
    </row>
    <row r="27" customFormat="false" ht="15" hidden="false" customHeight="true" outlineLevel="0" collapsed="false">
      <c r="B27" s="55" t="s">
        <v>93</v>
      </c>
    </row>
    <row r="28" customFormat="false" ht="15" hidden="false" customHeight="true" outlineLevel="0" collapsed="false">
      <c r="B28" s="56" t="s">
        <v>92</v>
      </c>
      <c r="C28" s="57" t="s">
        <v>205</v>
      </c>
      <c r="D28" s="58" t="n">
        <f aca="false">('Trial Balance'!$L$20-'Trial Balance'!$K$20)</f>
        <v>410000000</v>
      </c>
      <c r="E28" s="58" t="n">
        <f aca="false">IFERROR(SUMIF('Opening Balances'!$B$6:$B$22,3000,'Opening Balances'!$E$6:$E$22)-SUMIF('Opening Balances'!$B$6:$B$22,3000,'Opening Balances'!$D$6:$D$22),0)</f>
        <v>400000000</v>
      </c>
    </row>
    <row r="29" customFormat="false" ht="15" hidden="false" customHeight="true" outlineLevel="0" collapsed="false">
      <c r="B29" s="56" t="s">
        <v>95</v>
      </c>
      <c r="C29" s="57" t="s">
        <v>206</v>
      </c>
      <c r="D29" s="58" t="n">
        <f aca="false">('Trial Balance'!$L$22-'Trial Balance'!$K$22)</f>
        <v>50000000</v>
      </c>
      <c r="E29" s="58" t="n">
        <f aca="false">IFERROR(SUMIF('Opening Balances'!$B$6:$B$22,3020,'Opening Balances'!$E$6:$E$22)-SUMIF('Opening Balances'!$B$6:$B$22,3020,'Opening Balances'!$D$6:$D$22),0)</f>
        <v>50000000</v>
      </c>
    </row>
    <row r="30" customFormat="false" ht="15" hidden="false" customHeight="true" outlineLevel="0" collapsed="false">
      <c r="B30" s="56" t="s">
        <v>94</v>
      </c>
      <c r="C30" s="57" t="s">
        <v>207</v>
      </c>
      <c r="D30" s="58" t="n">
        <f aca="false">('Trial Balance'!$L$21-'Trial Balance'!$K$21)+'Profit &amp; Loss'!$D$32</f>
        <v>242477408</v>
      </c>
      <c r="E30" s="58" t="n">
        <f aca="false">IFERROR(SUMIF('Opening Balances'!$B$6:$B$22,3010,'Opening Balances'!$E$6:$E$22)-SUMIF('Opening Balances'!$B$6:$B$22,3010,'Opening Balances'!$D$6:$D$22),0)</f>
        <v>275000000</v>
      </c>
    </row>
    <row r="31" customFormat="false" ht="15" hidden="false" customHeight="true" outlineLevel="0" collapsed="false">
      <c r="B31" s="59" t="s">
        <v>29</v>
      </c>
      <c r="C31" s="60"/>
      <c r="D31" s="61" t="n">
        <f aca="false">SUM(D28:D30)</f>
        <v>702477408</v>
      </c>
      <c r="E31" s="61" t="n">
        <f aca="false">SUM(E28:E30)</f>
        <v>725000000</v>
      </c>
    </row>
    <row r="33" customFormat="false" ht="15" hidden="false" customHeight="true" outlineLevel="0" collapsed="false">
      <c r="B33" s="55" t="s">
        <v>208</v>
      </c>
    </row>
    <row r="34" customFormat="false" ht="15" hidden="false" customHeight="true" outlineLevel="0" collapsed="false">
      <c r="B34" s="56" t="s">
        <v>82</v>
      </c>
      <c r="C34" s="57" t="s">
        <v>209</v>
      </c>
      <c r="D34" s="58" t="n">
        <f aca="false">('Trial Balance'!$L$14-'Trial Balance'!$K$14)</f>
        <v>200000000</v>
      </c>
      <c r="E34" s="58" t="n">
        <f aca="false">IFERROR(SUMIF('Opening Balances'!$B$6:$B$22,2000,'Opening Balances'!$E$6:$E$22)-SUMIF('Opening Balances'!$B$6:$B$22,2000,'Opening Balances'!$D$6:$D$22),0)</f>
        <v>300000000</v>
      </c>
    </row>
    <row r="35" customFormat="false" ht="15" hidden="false" customHeight="true" outlineLevel="0" collapsed="false">
      <c r="B35" s="56" t="s">
        <v>86</v>
      </c>
      <c r="C35" s="57" t="s">
        <v>210</v>
      </c>
      <c r="D35" s="58" t="n">
        <f aca="false">('Trial Balance'!$L$15-'Trial Balance'!$K$15)</f>
        <v>15000000</v>
      </c>
      <c r="E35" s="58" t="n">
        <f aca="false">IFERROR(SUMIF('Opening Balances'!$B$6:$B$22,2010,'Opening Balances'!$E$6:$E$22)-SUMIF('Opening Balances'!$B$6:$B$22,2010,'Opening Balances'!$D$6:$D$22),0)</f>
        <v>10000000</v>
      </c>
    </row>
    <row r="36" customFormat="false" ht="15" hidden="false" customHeight="true" outlineLevel="0" collapsed="false">
      <c r="B36" s="59" t="s">
        <v>211</v>
      </c>
      <c r="C36" s="60"/>
      <c r="D36" s="61" t="n">
        <f aca="false">SUM(D34:D35)</f>
        <v>215000000</v>
      </c>
      <c r="E36" s="61" t="n">
        <f aca="false">SUM(E34:E35)</f>
        <v>310000000</v>
      </c>
    </row>
    <row r="38" customFormat="false" ht="15" hidden="false" customHeight="true" outlineLevel="0" collapsed="false">
      <c r="B38" s="55" t="s">
        <v>212</v>
      </c>
    </row>
    <row r="39" customFormat="false" ht="15" hidden="false" customHeight="true" outlineLevel="0" collapsed="false">
      <c r="B39" s="56" t="s">
        <v>87</v>
      </c>
      <c r="C39" s="57" t="s">
        <v>213</v>
      </c>
      <c r="D39" s="58" t="n">
        <f aca="false">('Trial Balance'!$L$16-'Trial Balance'!$K$16)</f>
        <v>200000000</v>
      </c>
      <c r="E39" s="58" t="n">
        <f aca="false">IFERROR(SUMIF('Opening Balances'!$B$6:$B$22,2100,'Opening Balances'!$E$6:$E$22)-SUMIF('Opening Balances'!$B$6:$B$22,2100,'Opening Balances'!$D$6:$D$22),0)</f>
        <v>150000000</v>
      </c>
    </row>
    <row r="40" customFormat="false" ht="15" hidden="false" customHeight="true" outlineLevel="0" collapsed="false">
      <c r="B40" s="56" t="s">
        <v>89</v>
      </c>
      <c r="C40" s="57" t="s">
        <v>214</v>
      </c>
      <c r="D40" s="58" t="n">
        <f aca="false">('Trial Balance'!$L$17-'Trial Balance'!$K$17)</f>
        <v>45000000</v>
      </c>
      <c r="E40" s="58" t="n">
        <f aca="false">IFERROR(SUMIF('Opening Balances'!$B$6:$B$22,2110,'Opening Balances'!$E$6:$E$22)-SUMIF('Opening Balances'!$B$6:$B$22,2110,'Opening Balances'!$D$6:$D$22),0)</f>
        <v>30000000</v>
      </c>
    </row>
    <row r="41" customFormat="false" ht="15" hidden="false" customHeight="true" outlineLevel="0" collapsed="false">
      <c r="B41" s="56" t="s">
        <v>90</v>
      </c>
      <c r="C41" s="57" t="s">
        <v>215</v>
      </c>
      <c r="D41" s="58" t="n">
        <f aca="false">('Trial Balance'!$L$18-'Trial Balance'!$K$18)</f>
        <v>60000000</v>
      </c>
      <c r="E41" s="58" t="n">
        <f aca="false">IFERROR(SUMIF('Opening Balances'!$B$6:$B$22,2120,'Opening Balances'!$E$6:$E$22)-SUMIF('Opening Balances'!$B$6:$B$22,2120,'Opening Balances'!$D$6:$D$22),0)</f>
        <v>40000000</v>
      </c>
    </row>
    <row r="42" customFormat="false" ht="15" hidden="false" customHeight="true" outlineLevel="0" collapsed="false">
      <c r="B42" s="56" t="s">
        <v>91</v>
      </c>
      <c r="C42" s="57" t="s">
        <v>216</v>
      </c>
      <c r="D42" s="58" t="n">
        <f aca="false">('Trial Balance'!$L$19-'Trial Balance'!$K$19)</f>
        <v>17000000</v>
      </c>
      <c r="E42" s="58" t="n">
        <f aca="false">IFERROR(SUMIF('Opening Balances'!$B$6:$B$22,2130,'Opening Balances'!$E$6:$E$22)-SUMIF('Opening Balances'!$B$6:$B$22,2130,'Opening Balances'!$D$6:$D$22),0)</f>
        <v>15000000</v>
      </c>
    </row>
    <row r="43" customFormat="false" ht="15" hidden="false" customHeight="true" outlineLevel="0" collapsed="false">
      <c r="B43" s="59" t="s">
        <v>217</v>
      </c>
      <c r="C43" s="60"/>
      <c r="D43" s="61" t="n">
        <f aca="false">SUM(D39:D42)</f>
        <v>322000000</v>
      </c>
      <c r="E43" s="61" t="n">
        <f aca="false">SUM(E39:E42)</f>
        <v>235000000</v>
      </c>
    </row>
    <row r="45" customFormat="false" ht="15" hidden="false" customHeight="true" outlineLevel="0" collapsed="false">
      <c r="B45" s="59" t="s">
        <v>218</v>
      </c>
      <c r="C45" s="60"/>
      <c r="D45" s="61" t="n">
        <f aca="false">D31+D36+D43</f>
        <v>1239477408</v>
      </c>
      <c r="E45" s="61" t="n">
        <f aca="false">E31+E36+E43</f>
        <v>1270000000</v>
      </c>
    </row>
    <row r="48" customFormat="false" ht="15" hidden="false" customHeight="true" outlineLevel="0" collapsed="false">
      <c r="B48" s="41" t="s">
        <v>219</v>
      </c>
      <c r="C48" s="41"/>
      <c r="D48" s="42" t="str">
        <f aca="false">IF(ROUND(D23-D45,0)=0,"TRUE","CHECK!")</f>
        <v>TRUE</v>
      </c>
    </row>
    <row r="49" customFormat="false" ht="15" hidden="false" customHeight="true" outlineLevel="0" collapsed="false">
      <c r="B49" s="41" t="s">
        <v>220</v>
      </c>
      <c r="C49" s="41"/>
      <c r="D49" s="42" t="str">
        <f aca="false">IF(ROUND(E23-E45,0)=0,"TRUE","CHECK!")</f>
        <v>TRUE</v>
      </c>
    </row>
  </sheetData>
  <mergeCells count="2">
    <mergeCell ref="B48:C48"/>
    <mergeCell ref="B49:C49"/>
  </mergeCells>
  <conditionalFormatting sqref="D48">
    <cfRule type="expression" priority="2" aboveAverage="0" equalAverage="0" bottom="0" percent="0" rank="0" text="" dxfId="0">
      <formula>D48="TRUE"</formula>
    </cfRule>
    <cfRule type="expression" priority="3" aboveAverage="0" equalAverage="0" bottom="0" percent="0" rank="0" text="" dxfId="1">
      <formula>D48&lt;&gt;"TRUE"</formula>
    </cfRule>
  </conditionalFormatting>
  <conditionalFormatting sqref="E49">
    <cfRule type="expression" priority="4" aboveAverage="0" equalAverage="0" bottom="0" percent="0" rank="0" text="" dxfId="0">
      <formula>E49="TRUE"</formula>
    </cfRule>
    <cfRule type="expression" priority="5" aboveAverage="0" equalAverage="0" bottom="0" percent="0" rank="0" text="" dxfId="1">
      <formula>E49&lt;&gt;"TRUE"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20"/>
    <col collapsed="false" customWidth="true" hidden="false" outlineLevel="0" max="5" min="5" style="1" width="4"/>
  </cols>
  <sheetData>
    <row r="2" customFormat="false" ht="18" hidden="false" customHeight="true" outlineLevel="0" collapsed="false">
      <c r="B2" s="51" t="s">
        <v>0</v>
      </c>
    </row>
    <row r="3" customFormat="false" ht="15" hidden="false" customHeight="true" outlineLevel="0" collapsed="false">
      <c r="B3" s="52" t="s">
        <v>1</v>
      </c>
    </row>
    <row r="4" customFormat="false" ht="15" hidden="false" customHeight="true" outlineLevel="0" collapsed="false">
      <c r="B4" s="24" t="s">
        <v>221</v>
      </c>
    </row>
    <row r="5" customFormat="false" ht="15" hidden="false" customHeight="true" outlineLevel="0" collapsed="false">
      <c r="B5" s="53" t="s">
        <v>222</v>
      </c>
    </row>
    <row r="7" customFormat="false" ht="15" hidden="false" customHeight="true" outlineLevel="0" collapsed="false">
      <c r="B7" s="62" t="s">
        <v>188</v>
      </c>
      <c r="C7" s="63"/>
      <c r="D7" s="62" t="s">
        <v>223</v>
      </c>
    </row>
    <row r="9" customFormat="false" ht="15" hidden="false" customHeight="true" outlineLevel="0" collapsed="false">
      <c r="B9" s="45" t="s">
        <v>98</v>
      </c>
    </row>
    <row r="10" customFormat="false" ht="15" hidden="false" customHeight="true" outlineLevel="0" collapsed="false">
      <c r="B10" s="56" t="s">
        <v>224</v>
      </c>
      <c r="D10" s="58" t="n">
        <f aca="false">'Trial Balance'!$L$23-'Trial Balance'!$K$23</f>
        <v>650000000</v>
      </c>
    </row>
    <row r="11" customFormat="false" ht="15" hidden="false" customHeight="true" outlineLevel="0" collapsed="false">
      <c r="B11" s="56" t="s">
        <v>225</v>
      </c>
      <c r="D11" s="58" t="n">
        <f aca="false">'Trial Balance'!$L$24-'Trial Balance'!$K$24</f>
        <v>8000000</v>
      </c>
    </row>
    <row r="12" customFormat="false" ht="15" hidden="false" customHeight="true" outlineLevel="0" collapsed="false">
      <c r="B12" s="45" t="s">
        <v>15</v>
      </c>
      <c r="D12" s="64" t="n">
        <f aca="false">SUM(D10:D11)</f>
        <v>658000000</v>
      </c>
    </row>
    <row r="14" customFormat="false" ht="15" hidden="false" customHeight="true" outlineLevel="0" collapsed="false">
      <c r="B14" s="45" t="s">
        <v>101</v>
      </c>
    </row>
    <row r="15" customFormat="false" ht="15" hidden="false" customHeight="true" outlineLevel="0" collapsed="false">
      <c r="B15" s="56" t="s">
        <v>226</v>
      </c>
      <c r="D15" s="58" t="n">
        <f aca="false">'Trial Balance'!$K$25-'Trial Balance'!$L$25</f>
        <v>380000000</v>
      </c>
    </row>
    <row r="16" customFormat="false" ht="15" hidden="false" customHeight="true" outlineLevel="0" collapsed="false">
      <c r="B16" s="45" t="s">
        <v>16</v>
      </c>
      <c r="D16" s="64" t="n">
        <f aca="false">D12-D15</f>
        <v>278000000</v>
      </c>
    </row>
    <row r="18" customFormat="false" ht="15" hidden="false" customHeight="true" outlineLevel="0" collapsed="false">
      <c r="B18" s="45" t="s">
        <v>227</v>
      </c>
    </row>
    <row r="19" customFormat="false" ht="15" hidden="false" customHeight="true" outlineLevel="0" collapsed="false">
      <c r="B19" s="56" t="s">
        <v>228</v>
      </c>
      <c r="D19" s="58" t="n">
        <f aca="false">'Trial Balance'!$K$26-'Trial Balance'!$L$26</f>
        <v>90000000</v>
      </c>
    </row>
    <row r="20" customFormat="false" ht="15" hidden="false" customHeight="true" outlineLevel="0" collapsed="false">
      <c r="B20" s="56" t="s">
        <v>229</v>
      </c>
      <c r="D20" s="58" t="n">
        <f aca="false">'Trial Balance'!$K$27-'Trial Balance'!$L$27</f>
        <v>12000000</v>
      </c>
    </row>
    <row r="21" customFormat="false" ht="15" hidden="false" customHeight="true" outlineLevel="0" collapsed="false">
      <c r="B21" s="56" t="s">
        <v>230</v>
      </c>
      <c r="D21" s="58" t="n">
        <f aca="false">'Trial Balance'!$K$28-'Trial Balance'!$L$28</f>
        <v>79522592</v>
      </c>
    </row>
    <row r="22" customFormat="false" ht="15" hidden="false" customHeight="true" outlineLevel="0" collapsed="false">
      <c r="B22" s="56" t="s">
        <v>231</v>
      </c>
      <c r="D22" s="58" t="n">
        <f aca="false">'Trial Balance'!$K$29-'Trial Balance'!$L$29</f>
        <v>6000000</v>
      </c>
    </row>
    <row r="23" customFormat="false" ht="15" hidden="false" customHeight="true" outlineLevel="0" collapsed="false">
      <c r="B23" s="56" t="s">
        <v>232</v>
      </c>
      <c r="D23" s="58" t="n">
        <f aca="false">'Trial Balance'!$K$30-'Trial Balance'!$L$30</f>
        <v>33000000</v>
      </c>
    </row>
    <row r="24" customFormat="false" ht="15" hidden="false" customHeight="true" outlineLevel="0" collapsed="false">
      <c r="B24" s="45" t="s">
        <v>233</v>
      </c>
      <c r="D24" s="64" t="n">
        <f aca="false">SUM(D19:D23)</f>
        <v>220522592</v>
      </c>
    </row>
    <row r="26" customFormat="false" ht="15" hidden="false" customHeight="true" outlineLevel="0" collapsed="false">
      <c r="B26" s="45" t="s">
        <v>17</v>
      </c>
      <c r="D26" s="64" t="n">
        <f aca="false">D16-D24</f>
        <v>57477408</v>
      </c>
    </row>
    <row r="28" customFormat="false" ht="15" hidden="false" customHeight="true" outlineLevel="0" collapsed="false">
      <c r="B28" s="56" t="s">
        <v>234</v>
      </c>
      <c r="D28" s="58" t="n">
        <f aca="false">'Trial Balance'!$K$31-'Trial Balance'!$L$31</f>
        <v>25000000</v>
      </c>
    </row>
    <row r="29" customFormat="false" ht="15" hidden="false" customHeight="true" outlineLevel="0" collapsed="false">
      <c r="B29" s="45" t="s">
        <v>235</v>
      </c>
      <c r="D29" s="64" t="n">
        <f aca="false">D26-D28</f>
        <v>32477408</v>
      </c>
    </row>
    <row r="31" customFormat="false" ht="15" hidden="false" customHeight="true" outlineLevel="0" collapsed="false">
      <c r="B31" s="56" t="s">
        <v>236</v>
      </c>
      <c r="D31" s="58" t="n">
        <f aca="false">'Trial Balance'!$K$32-'Trial Balance'!$L$32</f>
        <v>15000000</v>
      </c>
    </row>
    <row r="32" customFormat="false" ht="15" hidden="false" customHeight="true" outlineLevel="0" collapsed="false">
      <c r="B32" s="59" t="s">
        <v>237</v>
      </c>
      <c r="D32" s="61" t="n">
        <f aca="false">D29-D31</f>
        <v>17477408</v>
      </c>
    </row>
    <row r="35" customFormat="false" ht="21.75" hidden="false" customHeight="true" outlineLevel="0" collapsed="false">
      <c r="B35" s="34" t="s">
        <v>238</v>
      </c>
      <c r="C35" s="34"/>
      <c r="D35" s="34"/>
    </row>
  </sheetData>
  <mergeCells count="1">
    <mergeCell ref="B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6" min="3" style="1" width="18"/>
  </cols>
  <sheetData>
    <row r="2" customFormat="false" ht="18" hidden="false" customHeight="true" outlineLevel="0" collapsed="false">
      <c r="B2" s="51" t="s">
        <v>0</v>
      </c>
    </row>
    <row r="3" customFormat="false" ht="15" hidden="false" customHeight="true" outlineLevel="0" collapsed="false">
      <c r="B3" s="52" t="s">
        <v>1</v>
      </c>
    </row>
    <row r="4" customFormat="false" ht="15" hidden="false" customHeight="true" outlineLevel="0" collapsed="false">
      <c r="B4" s="24" t="s">
        <v>239</v>
      </c>
    </row>
    <row r="5" customFormat="false" ht="15" hidden="false" customHeight="true" outlineLevel="0" collapsed="false">
      <c r="B5" s="53" t="s">
        <v>222</v>
      </c>
    </row>
    <row r="7" customFormat="false" ht="23.25" hidden="false" customHeight="true" outlineLevel="0" collapsed="false">
      <c r="B7" s="54" t="s">
        <v>188</v>
      </c>
      <c r="C7" s="54" t="s">
        <v>92</v>
      </c>
      <c r="D7" s="54" t="s">
        <v>95</v>
      </c>
      <c r="E7" s="54" t="s">
        <v>94</v>
      </c>
      <c r="F7" s="54" t="s">
        <v>29</v>
      </c>
    </row>
    <row r="8" customFormat="false" ht="15" hidden="false" customHeight="true" outlineLevel="0" collapsed="false">
      <c r="B8" s="45" t="s">
        <v>240</v>
      </c>
      <c r="C8" s="65" t="n">
        <f aca="false">IFERROR(SUMIF('Opening Balances'!$B$6:$B$22,3000,'Opening Balances'!$E$6:$E$22)-SUMIF('Opening Balances'!$B$6:$B$22,3000,'Opening Balances'!$D$6:$D$22),0)</f>
        <v>400000000</v>
      </c>
      <c r="D8" s="65" t="n">
        <f aca="false">IFERROR(SUMIF('Opening Balances'!$B$6:$B$22,3020,'Opening Balances'!$E$6:$E$22)-SUMIF('Opening Balances'!$B$6:$B$22,3020,'Opening Balances'!$D$6:$D$22),0)</f>
        <v>50000000</v>
      </c>
      <c r="E8" s="65" t="n">
        <f aca="false">IFERROR(SUMIF('Opening Balances'!$B$6:$B$22,3010,'Opening Balances'!$E$6:$E$22)-SUMIF('Opening Balances'!$B$6:$B$22,3010,'Opening Balances'!$D$6:$D$22),0)</f>
        <v>275000000</v>
      </c>
      <c r="F8" s="65" t="n">
        <f aca="false">C8+D8+E8</f>
        <v>725000000</v>
      </c>
    </row>
    <row r="9" customFormat="false" ht="15" hidden="false" customHeight="true" outlineLevel="0" collapsed="false">
      <c r="B9" s="56" t="s">
        <v>241</v>
      </c>
      <c r="C9" s="58" t="n">
        <f aca="false">('Trial Balance'!$L$20-'Trial Balance'!$K$20)-IFERROR(SUMIF('Opening Balances'!$B$6:$B$22,3000,'Opening Balances'!$E$6:$E$22)-SUMIF('Opening Balances'!$B$6:$B$22,3000,'Opening Balances'!$D$6:$D$22),0)</f>
        <v>10000000</v>
      </c>
      <c r="D9" s="58" t="n">
        <v>0</v>
      </c>
      <c r="E9" s="58" t="n">
        <v>0</v>
      </c>
      <c r="F9" s="58" t="n">
        <f aca="false">C9+D9+E9</f>
        <v>10000000</v>
      </c>
    </row>
    <row r="10" customFormat="false" ht="15" hidden="false" customHeight="true" outlineLevel="0" collapsed="false">
      <c r="B10" s="56" t="s">
        <v>242</v>
      </c>
      <c r="C10" s="58" t="n">
        <v>0</v>
      </c>
      <c r="D10" s="58" t="n">
        <v>0</v>
      </c>
      <c r="E10" s="58" t="n">
        <f aca="false">'Profit &amp; Loss'!$D$32</f>
        <v>17477408</v>
      </c>
      <c r="F10" s="58" t="n">
        <f aca="false">C10+D10+E10</f>
        <v>17477408</v>
      </c>
    </row>
    <row r="11" customFormat="false" ht="15" hidden="false" customHeight="true" outlineLevel="0" collapsed="false">
      <c r="B11" s="56" t="s">
        <v>243</v>
      </c>
      <c r="C11" s="58" t="n">
        <v>0</v>
      </c>
      <c r="D11" s="58" t="n">
        <v>0</v>
      </c>
      <c r="E11" s="58" t="n">
        <f aca="false">('Trial Balance'!$L$21-'Trial Balance'!$K$21)-IFERROR(SUMIF('Opening Balances'!$B$6:$B$22,3010,'Opening Balances'!$E$6:$E$22)-SUMIF('Opening Balances'!$B$6:$B$22,3010,'Opening Balances'!$D$6:$D$22),0)</f>
        <v>-50000000</v>
      </c>
      <c r="F11" s="58" t="n">
        <f aca="false">C11+D11+E11</f>
        <v>-50000000</v>
      </c>
    </row>
    <row r="12" customFormat="false" ht="15" hidden="false" customHeight="true" outlineLevel="0" collapsed="false">
      <c r="B12" s="56" t="s">
        <v>244</v>
      </c>
      <c r="C12" s="58" t="n">
        <v>0</v>
      </c>
      <c r="D12" s="58" t="n">
        <f aca="false">('Trial Balance'!$L$22-'Trial Balance'!$K$22)-IFERROR(SUMIF('Opening Balances'!$B$6:$B$22,3020,'Opening Balances'!$E$6:$E$22)-SUMIF('Opening Balances'!$B$6:$B$22,3020,'Opening Balances'!$D$6:$D$22),0)</f>
        <v>0</v>
      </c>
      <c r="E12" s="58" t="n">
        <v>0</v>
      </c>
      <c r="F12" s="58" t="n">
        <f aca="false">C12+D12+E12</f>
        <v>0</v>
      </c>
    </row>
    <row r="13" customFormat="false" ht="15" hidden="false" customHeight="true" outlineLevel="0" collapsed="false">
      <c r="B13" s="59" t="s">
        <v>245</v>
      </c>
      <c r="C13" s="61" t="n">
        <f aca="false">SUM(C8:C12)</f>
        <v>410000000</v>
      </c>
      <c r="D13" s="61" t="n">
        <f aca="false">SUM(D8:D12)</f>
        <v>50000000</v>
      </c>
      <c r="E13" s="61" t="n">
        <f aca="false">SUM(E8:E12)</f>
        <v>242477408</v>
      </c>
      <c r="F13" s="61" t="n">
        <f aca="false">C13+D13+E13</f>
        <v>702477408</v>
      </c>
    </row>
    <row r="16" customFormat="false" ht="15" hidden="false" customHeight="true" outlineLevel="0" collapsed="false">
      <c r="B16" s="41" t="s">
        <v>246</v>
      </c>
      <c r="C16" s="41"/>
      <c r="D16" s="41"/>
      <c r="E16" s="41"/>
      <c r="F16" s="42" t="str">
        <f aca="false">IF(ROUND(F13-'Balance Sheet'!D31,0)=0,"TRUE","CHECK!")</f>
        <v>TRUE</v>
      </c>
    </row>
  </sheetData>
  <mergeCells count="1">
    <mergeCell ref="B16:E16"/>
  </mergeCells>
  <conditionalFormatting sqref="E16">
    <cfRule type="expression" priority="2" aboveAverage="0" equalAverage="0" bottom="0" percent="0" rank="0" text="" dxfId="0">
      <formula>E16="TRUE"</formula>
    </cfRule>
    <cfRule type="expression" priority="3" aboveAverage="0" equalAverage="0" bottom="0" percent="0" rank="0" text="" dxfId="1">
      <formula>E16&lt;&gt;"TRUE"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20"/>
    <col collapsed="false" customWidth="true" hidden="false" outlineLevel="0" max="4" min="4" style="1" width="4"/>
  </cols>
  <sheetData>
    <row r="2" customFormat="false" ht="18" hidden="false" customHeight="true" outlineLevel="0" collapsed="false">
      <c r="B2" s="51" t="s">
        <v>0</v>
      </c>
    </row>
    <row r="3" customFormat="false" ht="15" hidden="false" customHeight="true" outlineLevel="0" collapsed="false">
      <c r="B3" s="52" t="s">
        <v>1</v>
      </c>
    </row>
    <row r="4" customFormat="false" ht="15" hidden="false" customHeight="true" outlineLevel="0" collapsed="false">
      <c r="B4" s="24" t="s">
        <v>247</v>
      </c>
    </row>
    <row r="5" customFormat="false" ht="15" hidden="false" customHeight="true" outlineLevel="0" collapsed="false">
      <c r="B5" s="53" t="s">
        <v>222</v>
      </c>
    </row>
    <row r="7" customFormat="false" ht="15" hidden="false" customHeight="true" outlineLevel="0" collapsed="false">
      <c r="B7" s="62" t="s">
        <v>188</v>
      </c>
      <c r="C7" s="62" t="s">
        <v>223</v>
      </c>
    </row>
    <row r="9" customFormat="false" ht="15" hidden="false" customHeight="true" outlineLevel="0" collapsed="false">
      <c r="B9" s="55" t="s">
        <v>248</v>
      </c>
    </row>
    <row r="10" customFormat="false" ht="15" hidden="false" customHeight="true" outlineLevel="0" collapsed="false">
      <c r="B10" s="56" t="s">
        <v>249</v>
      </c>
      <c r="C10" s="58" t="n">
        <f aca="false">'Profit &amp; Loss'!$D$32</f>
        <v>17477408</v>
      </c>
    </row>
    <row r="11" customFormat="false" ht="15" hidden="false" customHeight="true" outlineLevel="0" collapsed="false">
      <c r="B11" s="56" t="s">
        <v>250</v>
      </c>
      <c r="C11" s="58" t="n">
        <f aca="false">'Trial Balance'!$K$28-'Trial Balance'!$L$28</f>
        <v>79522592</v>
      </c>
    </row>
    <row r="12" customFormat="false" ht="15" hidden="false" customHeight="true" outlineLevel="0" collapsed="false">
      <c r="B12" s="56" t="s">
        <v>251</v>
      </c>
      <c r="C12" s="58" t="n">
        <f aca="false">-(('Trial Balance'!$K$10-'Trial Balance'!$L$10)-(IFERROR(SUMIF('Opening Balances'!$B$6:$B$22,1100,'Opening Balances'!$D$6:$D$22)-SUMIF('Opening Balances'!$B$6:$B$22,1100,'Opening Balances'!$E$6:$E$22),0)))</f>
        <v>80000000</v>
      </c>
    </row>
    <row r="13" customFormat="false" ht="15" hidden="false" customHeight="true" outlineLevel="0" collapsed="false">
      <c r="B13" s="56" t="s">
        <v>252</v>
      </c>
      <c r="C13" s="58" t="n">
        <f aca="false">-(('Trial Balance'!$K$11-'Trial Balance'!$L$11)-(IFERROR(SUMIF('Opening Balances'!$B$6:$B$22,1110,'Opening Balances'!$D$6:$D$22)-SUMIF('Opening Balances'!$B$6:$B$22,1110,'Opening Balances'!$E$6:$E$22),0)))</f>
        <v>100000000</v>
      </c>
    </row>
    <row r="14" customFormat="false" ht="15" hidden="false" customHeight="true" outlineLevel="0" collapsed="false">
      <c r="B14" s="56" t="s">
        <v>253</v>
      </c>
      <c r="C14" s="58" t="n">
        <f aca="false">-(('Trial Balance'!$K$12-'Trial Balance'!$L$12)-(IFERROR(SUMIF('Opening Balances'!$B$6:$B$22,1120,'Opening Balances'!$D$6:$D$22)-SUMIF('Opening Balances'!$B$6:$B$22,1120,'Opening Balances'!$E$6:$E$22),0)))</f>
        <v>-25000000</v>
      </c>
    </row>
    <row r="15" customFormat="false" ht="15" hidden="false" customHeight="true" outlineLevel="0" collapsed="false">
      <c r="B15" s="56" t="s">
        <v>254</v>
      </c>
      <c r="C15" s="58" t="n">
        <f aca="false">('Trial Balance'!$L$16-'Trial Balance'!$K$16)-(IFERROR(SUMIF('Opening Balances'!$B$6:$B$22,2100,'Opening Balances'!$E$6:$E$22)-SUMIF('Opening Balances'!$B$6:$B$22,2100,'Opening Balances'!$D$6:$D$22),0))</f>
        <v>50000000</v>
      </c>
    </row>
    <row r="16" customFormat="false" ht="15" hidden="false" customHeight="true" outlineLevel="0" collapsed="false">
      <c r="B16" s="56" t="s">
        <v>255</v>
      </c>
      <c r="C16" s="58" t="n">
        <f aca="false">('Trial Balance'!$L$17-'Trial Balance'!$K$17)-(IFERROR(SUMIF('Opening Balances'!$B$6:$B$22,2110,'Opening Balances'!$E$6:$E$22)-SUMIF('Opening Balances'!$B$6:$B$22,2110,'Opening Balances'!$D$6:$D$22),0))</f>
        <v>15000000</v>
      </c>
    </row>
    <row r="17" customFormat="false" ht="15" hidden="false" customHeight="true" outlineLevel="0" collapsed="false">
      <c r="B17" s="56" t="s">
        <v>256</v>
      </c>
      <c r="C17" s="58" t="n">
        <f aca="false">('Trial Balance'!$L$19-'Trial Balance'!$K$19)-(IFERROR(SUMIF('Opening Balances'!$B$6:$B$22,2130,'Opening Balances'!$E$6:$E$22)-SUMIF('Opening Balances'!$B$6:$B$22,2130,'Opening Balances'!$D$6:$D$22),0))</f>
        <v>2000000</v>
      </c>
    </row>
    <row r="18" customFormat="false" ht="15" hidden="false" customHeight="true" outlineLevel="0" collapsed="false">
      <c r="B18" s="56" t="s">
        <v>257</v>
      </c>
      <c r="C18" s="58" t="n">
        <f aca="false">('Trial Balance'!$L$15-'Trial Balance'!$K$15)-(IFERROR(SUMIF('Opening Balances'!$B$6:$B$22,2010,'Opening Balances'!$E$6:$E$22)-SUMIF('Opening Balances'!$B$6:$B$22,2010,'Opening Balances'!$D$6:$D$22),0))</f>
        <v>5000000</v>
      </c>
    </row>
    <row r="19" customFormat="false" ht="15" hidden="false" customHeight="true" outlineLevel="0" collapsed="false">
      <c r="B19" s="59" t="s">
        <v>258</v>
      </c>
      <c r="C19" s="61" t="n">
        <f aca="false">SUM(C10:C18)</f>
        <v>324000000</v>
      </c>
    </row>
    <row r="21" customFormat="false" ht="15" hidden="false" customHeight="true" outlineLevel="0" collapsed="false">
      <c r="B21" s="55" t="s">
        <v>259</v>
      </c>
    </row>
    <row r="22" customFormat="false" ht="15" hidden="false" customHeight="true" outlineLevel="0" collapsed="false">
      <c r="B22" s="56" t="s">
        <v>260</v>
      </c>
      <c r="C22" s="58" t="n">
        <f aca="false">-(('Trial Balance'!$K$6-'Trial Balance'!$L$6)-(IFERROR(SUMIF('Opening Balances'!$B$6:$B$22,1000,'Opening Balances'!$D$6:$D$22)-SUMIF('Opening Balances'!$B$6:$B$22,1000,'Opening Balances'!$E$6:$E$22),0)))</f>
        <v>-85000000</v>
      </c>
    </row>
    <row r="23" customFormat="false" ht="15" hidden="false" customHeight="true" outlineLevel="0" collapsed="false">
      <c r="B23" s="56" t="s">
        <v>261</v>
      </c>
      <c r="C23" s="58" t="n">
        <f aca="false">-(('Trial Balance'!$K$8-'Trial Balance'!$L$8)-(IFERROR(SUMIF('Opening Balances'!$B$6:$B$22,1020,'Opening Balances'!$D$6:$D$22)-SUMIF('Opening Balances'!$B$6:$B$22,1020,'Opening Balances'!$E$6:$E$22),0)))</f>
        <v>-40000000</v>
      </c>
    </row>
    <row r="24" customFormat="false" ht="15" hidden="false" customHeight="true" outlineLevel="0" collapsed="false">
      <c r="B24" s="56" t="s">
        <v>262</v>
      </c>
      <c r="C24" s="58" t="n">
        <f aca="false">-(('Trial Balance'!$K$9-'Trial Balance'!$L$9)-(IFERROR(SUMIF('Opening Balances'!$B$6:$B$22,1030,'Opening Balances'!$D$6:$D$22)-SUMIF('Opening Balances'!$B$6:$B$22,1030,'Opening Balances'!$E$6:$E$22),0)))</f>
        <v>-0</v>
      </c>
    </row>
    <row r="25" customFormat="false" ht="15" hidden="false" customHeight="true" outlineLevel="0" collapsed="false">
      <c r="B25" s="59" t="s">
        <v>263</v>
      </c>
      <c r="C25" s="61" t="n">
        <f aca="false">SUM(C22:C24)</f>
        <v>-125000000</v>
      </c>
    </row>
    <row r="27" customFormat="false" ht="15" hidden="false" customHeight="true" outlineLevel="0" collapsed="false">
      <c r="B27" s="55" t="s">
        <v>264</v>
      </c>
    </row>
    <row r="28" customFormat="false" ht="15" hidden="false" customHeight="true" outlineLevel="0" collapsed="false">
      <c r="B28" s="56" t="s">
        <v>265</v>
      </c>
      <c r="C28" s="58" t="n">
        <f aca="false">('Trial Balance'!$L$20-'Trial Balance'!$K$20)-(IFERROR(SUMIF('Opening Balances'!$B$6:$B$22,3000,'Opening Balances'!$E$6:$E$22)-SUMIF('Opening Balances'!$B$6:$B$22,3000,'Opening Balances'!$D$6:$D$22),0))</f>
        <v>10000000</v>
      </c>
    </row>
    <row r="29" customFormat="false" ht="15" hidden="false" customHeight="true" outlineLevel="0" collapsed="false">
      <c r="B29" s="56" t="s">
        <v>266</v>
      </c>
      <c r="C29" s="58" t="n">
        <f aca="false">('Trial Balance'!$L$14-'Trial Balance'!$K$14)-(IFERROR(SUMIF('Opening Balances'!$B$6:$B$22,2000,'Opening Balances'!$E$6:$E$22)-SUMIF('Opening Balances'!$B$6:$B$22,2000,'Opening Balances'!$D$6:$D$22),0))</f>
        <v>-100000000</v>
      </c>
    </row>
    <row r="30" customFormat="false" ht="15" hidden="false" customHeight="true" outlineLevel="0" collapsed="false">
      <c r="B30" s="56" t="s">
        <v>267</v>
      </c>
      <c r="C30" s="58" t="n">
        <f aca="false">('Trial Balance'!$L$18-'Trial Balance'!$K$18)-(IFERROR(SUMIF('Opening Balances'!$B$6:$B$22,2120,'Opening Balances'!$E$6:$E$22)-SUMIF('Opening Balances'!$B$6:$B$22,2120,'Opening Balances'!$D$6:$D$22),0))</f>
        <v>20000000</v>
      </c>
    </row>
    <row r="31" customFormat="false" ht="15" hidden="false" customHeight="true" outlineLevel="0" collapsed="false">
      <c r="B31" s="56" t="s">
        <v>268</v>
      </c>
      <c r="C31" s="58" t="n">
        <f aca="false">('Changes in Equity'!E11)</f>
        <v>-50000000</v>
      </c>
    </row>
    <row r="32" customFormat="false" ht="15" hidden="false" customHeight="true" outlineLevel="0" collapsed="false">
      <c r="B32" s="59" t="s">
        <v>269</v>
      </c>
      <c r="C32" s="61" t="n">
        <f aca="false">SUM(C28:C31)</f>
        <v>-120000000</v>
      </c>
    </row>
    <row r="34" customFormat="false" ht="15" hidden="false" customHeight="true" outlineLevel="0" collapsed="false">
      <c r="B34" s="59" t="s">
        <v>270</v>
      </c>
      <c r="C34" s="61" t="n">
        <f aca="false">C19+C25+C32</f>
        <v>79000000</v>
      </c>
    </row>
    <row r="35" customFormat="false" ht="15" hidden="false" customHeight="true" outlineLevel="0" collapsed="false">
      <c r="B35" s="56" t="s">
        <v>271</v>
      </c>
      <c r="C35" s="58" t="n">
        <f aca="false">IFERROR(SUMIF('Opening Balances'!$B$6:$B$22,1130,'Opening Balances'!$D$6:$D$22)-SUMIF('Opening Balances'!$B$6:$B$22,1130,'Opening Balances'!$E$6:$E$22),0)</f>
        <v>60000000</v>
      </c>
    </row>
    <row r="36" customFormat="false" ht="15" hidden="false" customHeight="true" outlineLevel="0" collapsed="false">
      <c r="B36" s="59" t="s">
        <v>272</v>
      </c>
      <c r="C36" s="61" t="n">
        <f aca="false">C34+C35</f>
        <v>139000000</v>
      </c>
    </row>
    <row r="39" customFormat="false" ht="15" hidden="false" customHeight="true" outlineLevel="0" collapsed="false">
      <c r="B39" s="45" t="s">
        <v>273</v>
      </c>
      <c r="C39" s="42" t="str">
        <f aca="false">IF(ROUND(C36-'Balance Sheet'!D20,0)=0,"TRUE","CHECK!")</f>
        <v>TRUE</v>
      </c>
    </row>
  </sheetData>
  <conditionalFormatting sqref="C39">
    <cfRule type="expression" priority="2" aboveAverage="0" equalAverage="0" bottom="0" percent="0" rank="0" text="" dxfId="0">
      <formula>C39="TRUE"</formula>
    </cfRule>
    <cfRule type="expression" priority="3" aboveAverage="0" equalAverage="0" bottom="0" percent="0" rank="0" text="" dxfId="1">
      <formula>C39&lt;&gt;"TRUE"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2026-07-04T17:57:16Z</dcterms:created>
  <dc:creator>openpyxl</dc:creator>
  <dc:description/>
  <dc:language>en-US</dc:language>
  <cp:lastModifiedBy/>
  <dcterms:modified xsi:type="dcterms:W3CDTF">2026-07-07T06:14:10Z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